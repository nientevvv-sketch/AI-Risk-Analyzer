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drawing3.xml" ContentType="application/vnd.openxmlformats-officedocument.drawing+xml"/>
  <Override PartName="/xl/drawings/vmlDrawing1.vml" ContentType="application/vnd.openxmlformats-officedocument.vmlDrawing"/>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Financial_Metrics" sheetId="2" state="visible" r:id="rId4"/>
    <sheet name="Stress_Test_Matrix" sheetId="3" state="visible" r:id="rId5"/>
    <sheet name="Financial_Ratios" sheetId="4" state="visible" r:id="rId6"/>
    <sheet name="Peer_Comparison" sheetId="5" state="visible" r:id="rId7"/>
    <sheet name="Review_Flags" sheetId="6" state="visible" r:id="rId8"/>
    <sheet name="Methodology" sheetId="7" state="visible" r:id="rId9"/>
    <sheet name="Source_Verification" sheetId="8" state="visible" r:id="rId10"/>
    <sheet name="Audit_Log" sheetId="9" state="visible" r:id="rId11"/>
  </sheets>
  <definedNames>
    <definedName function="false" hidden="false" localSheetId="8" name="_xlnm.Print_Titles" vbProcedure="false">Audit_Log!$1:$1</definedName>
    <definedName function="false" hidden="true" localSheetId="8" name="_xlnm._FilterDatabase" vbProcedure="false">Audit_Log!$A$1:$G$51</definedName>
    <definedName function="false" hidden="false" localSheetId="1" name="_xlnm.Print_Titles" vbProcedure="false">Financial_Metrics!$1:$1</definedName>
    <definedName function="false" hidden="true" localSheetId="1" name="_xlnm._FilterDatabase" vbProcedure="false">Financial_Metrics!$A$1:$M$71</definedName>
    <definedName function="false" hidden="false" localSheetId="3" name="_xlnm.Print_Titles" vbProcedure="false">Financial_Ratios!$1:$1</definedName>
    <definedName function="false" hidden="true" localSheetId="3" name="_xlnm._FilterDatabase" vbProcedure="false">Financial_Ratios!$A$1:$K$31</definedName>
    <definedName function="false" hidden="false" localSheetId="6" name="_xlnm.Print_Titles" vbProcedure="false">Methodology!$1:$1</definedName>
    <definedName function="false" hidden="true" localSheetId="6" name="_xlnm._FilterDatabase" vbProcedure="false">Methodology!$A$1:$C$17</definedName>
    <definedName function="false" hidden="false" localSheetId="4" name="_xlnm.Print_Titles" vbProcedure="false">Peer_Comparison!$1:$1</definedName>
    <definedName function="false" hidden="true" localSheetId="4" name="_xlnm._FilterDatabase" vbProcedure="false">Peer_Comparison!$A$1:$P$6</definedName>
    <definedName function="false" hidden="false" localSheetId="5" name="_xlnm.Print_Titles" vbProcedure="false">Review_Flags!$1:$1</definedName>
    <definedName function="false" hidden="true" localSheetId="5" name="_xlnm._FilterDatabase" vbProcedure="false">Review_Flags!$A$1:$F$20</definedName>
    <definedName function="false" hidden="true" localSheetId="7" name="_xlnm._FilterDatabase" vbProcedure="false">Source_Verification!$A$4:$R$51</definedName>
    <definedName function="false" hidden="false" localSheetId="2" name="_xlnm.Print_Titles" vbProcedure="false">Stress_Test_Matrix!$1:$1</definedName>
    <definedName function="false" hidden="true" localSheetId="2" name="_xlnm._FilterDatabase" vbProcedure="false">Stress_Test_Matrix!$A$1:$N$21</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N2" authorId="0">
      <text>
        <r>
          <rPr>
            <sz val="10"/>
            <rFont val="Arial"/>
            <family val="2"/>
          </rPr>
          <t xml:space="preserve">Illustrative assumption carried over from the original model; not empirically estimated.</t>
        </r>
      </text>
    </comment>
    <comment ref="N3" authorId="0">
      <text>
        <r>
          <rPr>
            <sz val="10"/>
            <rFont val="Arial"/>
            <family val="2"/>
          </rPr>
          <t xml:space="preserve">Illustrative threshold carried over from the original model; not a credit rating.</t>
        </r>
      </text>
    </comment>
    <comment ref="N4" authorId="0">
      <text>
        <r>
          <rPr>
            <sz val="10"/>
            <rFont val="Arial"/>
            <family val="2"/>
          </rPr>
          <t xml:space="preserve">Illustrative threshold carried over from the original model; not a credit rating.</t>
        </r>
      </text>
    </comment>
  </commentList>
</comments>
</file>

<file path=xl/sharedStrings.xml><?xml version="1.0" encoding="utf-8"?>
<sst xmlns="http://schemas.openxmlformats.org/spreadsheetml/2006/main" count="1777" uniqueCount="441">
  <si>
    <t xml:space="preserve">Insurance Brokers Peer Model — Summary</t>
  </si>
  <si>
    <t xml:space="preserve">FY2025 snapshot, USD bn unless stated. Every figure links to the model sheets. Several inputs are still unverified — see Review_Flags before drawing conclusions.</t>
  </si>
  <si>
    <t xml:space="preserve">Company</t>
  </si>
  <si>
    <t xml:space="preserve">Revenue</t>
  </si>
  <si>
    <t xml:space="preserve">EBIT</t>
  </si>
  <si>
    <t xml:space="preserve">Net margin</t>
  </si>
  <si>
    <t xml:space="preserve">FCF margin</t>
  </si>
  <si>
    <t xml:space="preserve">Current ratio</t>
  </si>
  <si>
    <t xml:space="preserve">Interest coverage FY2025 (x)</t>
  </si>
  <si>
    <t xml:space="preserve">Severe-stress coverage (x)</t>
  </si>
  <si>
    <t xml:space="preserve">Severe-stress assessment</t>
  </si>
  <si>
    <t xml:space="preserve">EBIT basis</t>
  </si>
  <si>
    <t xml:space="preserve">Peer median</t>
  </si>
  <si>
    <t xml:space="preserve">Median is across five companies and is descriptive only. AJG and BRO EBIT is a derived proxy, so EBIT-based figures are not strictly like-for-like.</t>
  </si>
  <si>
    <t xml:space="preserve">Data-quality scorecard — Financial_Metrics rows by status</t>
  </si>
  <si>
    <t xml:space="preserve">Verification progress — Source_Verification</t>
  </si>
  <si>
    <t xml:space="preserve">Needs review</t>
  </si>
  <si>
    <t xml:space="preserve">Partially verified</t>
  </si>
  <si>
    <t xml:space="preserve">Derived proxy</t>
  </si>
  <si>
    <t xml:space="preserve">Calculated</t>
  </si>
  <si>
    <t xml:space="preserve">Total rows</t>
  </si>
  <si>
    <t xml:space="preserve">Checked to primary</t>
  </si>
  <si>
    <t xml:space="preserve">Corrected</t>
  </si>
  <si>
    <t xml:space="preserve">Secondary discrepancies</t>
  </si>
  <si>
    <t xml:space="preserve">Total</t>
  </si>
  <si>
    <t xml:space="preserve">Input rows still marked “Needs review”</t>
  </si>
  <si>
    <t xml:space="preserve">Excludes Calculated rows, which depend on those inputs.</t>
  </si>
  <si>
    <t xml:space="preserve">Only WTW has been checked so far; the other four show 0 until verified.</t>
  </si>
  <si>
    <t xml:space="preserve">Review flags</t>
  </si>
  <si>
    <t xml:space="preserve">Flags logged</t>
  </si>
  <si>
    <t xml:space="preserve">Open</t>
  </si>
  <si>
    <t xml:space="preserve">High priority and open</t>
  </si>
  <si>
    <t xml:space="preserve">Metric (USD bn unless ratio / %)</t>
  </si>
  <si>
    <t xml:space="preserve">2021</t>
  </si>
  <si>
    <t xml:space="preserve">2022</t>
  </si>
  <si>
    <t xml:space="preserve">2023</t>
  </si>
  <si>
    <t xml:space="preserve">2024</t>
  </si>
  <si>
    <t xml:space="preserve">2025</t>
  </si>
  <si>
    <t xml:space="preserve">2026_TTM</t>
  </si>
  <si>
    <t xml:space="preserve">Source URL</t>
  </si>
  <si>
    <t xml:space="preserve">Data Status</t>
  </si>
  <si>
    <t xml:space="preserve">Review Notes</t>
  </si>
  <si>
    <t xml:space="preserve">Legend</t>
  </si>
  <si>
    <t xml:space="preserve">WTW</t>
  </si>
  <si>
    <t xml:space="preserve">Total Revenue</t>
  </si>
  <si>
    <t xml:space="preserve">https://www.sec.gov/Archives/edgar/data/1140536/000119312526069307/wtw-20251231.htm</t>
  </si>
  <si>
    <t xml:space="preserve">Partially verified — FY2023–FY2025</t>
  </si>
  <si>
    <t xml:space="preserve">FY2023–FY2025 values reconciled to cited FY2025 Form 10-K. 2021–2022 and 2026_TTM are not verified in this pass; see Audit_Log.</t>
  </si>
  <si>
    <t xml:space="preserve">Blue = hardcoded input</t>
  </si>
  <si>
    <t xml:space="preserve">Revenue Growth YoY</t>
  </si>
  <si>
    <t xml:space="preserve">n/a</t>
  </si>
  <si>
    <t xml:space="preserve">n/a — TTM comparator unavailable</t>
  </si>
  <si>
    <t xml:space="preserve">Calculated (FY only)</t>
  </si>
  <si>
    <t xml:space="preserve">FY2024 and FY2025 growth use the reconciled FY2023–FY2025 revenue series. FY2023 growth still depends on the unverified FY2022 input. 2026_TTM growth is intentionally n/a because no prior comparable TTM period is provided.</t>
  </si>
  <si>
    <t xml:space="preserve">Black = formula</t>
  </si>
  <si>
    <t xml:space="preserve">Operating Income (EBIT)</t>
  </si>
  <si>
    <t xml:space="preserve">Net Income</t>
  </si>
  <si>
    <t xml:space="preserve">FY2023–FY2025 reconciled to WTW FY2025 Form 10-K, net income attributable to WTW (checked 2026-10-28). FY2023 was 1.064 (consolidated net income) and is now 1.055 (attributable). 2021–2022 match secondary sources after rounding; 2026_TTM not verified.</t>
  </si>
  <si>
    <t xml:space="preserve">Status colours (column J)</t>
  </si>
  <si>
    <t xml:space="preserve">Net Profit Margin</t>
  </si>
  <si>
    <t xml:space="preserve">Calculated — inputs require review</t>
  </si>
  <si>
    <t xml:space="preserve">Formula is live; output reliability depends on source inputs. See Audit_Log for source status.</t>
  </si>
  <si>
    <t xml:space="preserve">Operating Cash Flow</t>
  </si>
  <si>
    <t xml:space="preserve">FY2023–FY2025 reconciled to WTW FY2025 Form 10-K cash-flow statement (checked 2026-10-28). 2021–2022 differ from secondary sources (2.061 / 0.812) and are not changed until checked to primary filings. 2026_TTM period end is undefined; see Source_Verification.</t>
  </si>
  <si>
    <t xml:space="preserve">Capital Expenditures</t>
  </si>
  <si>
    <t xml:space="preserve">FY2023–FY2025 reconciled to the cash-flow line 'Additions to fixed assets and software' (checked 2026-10-28). 2021–2022 differ from secondary sources (0.201 / 0.204) and are not changed yet.</t>
  </si>
  <si>
    <t xml:space="preserve">Free Cash Flow</t>
  </si>
  <si>
    <t xml:space="preserve">Current Assets</t>
  </si>
  <si>
    <t xml:space="preserve">Partially verified — FY2024–FY2025</t>
  </si>
  <si>
    <t xml:space="preserve">FY2024–FY2025 reconciled to the FY2025 Form 10-K balance sheet (includes fiduciary assets). FY2021–FY2023 differ from secondary sources (13.433 / 15.835 / 18.488 mn basis) and need the older 10-Ks.</t>
  </si>
  <si>
    <t xml:space="preserve">Current Liabilities</t>
  </si>
  <si>
    <t xml:space="preserve">FY2024–FY2025 reconciled to the FY2025 Form 10-K balance sheet (includes fiduciary liabilities). FY2021–FY2023 differ from secondary sources and need the older 10-Ks.</t>
  </si>
  <si>
    <t xml:space="preserve">Current Ratio</t>
  </si>
  <si>
    <t xml:space="preserve">Total Debt</t>
  </si>
  <si>
    <t xml:space="preserve">FY2024–FY2025 = current debt + long-term debt + lease liabilities, per the FY2025 10-K balance sheet (excluding leases: 5.309 / 6.306). FY2021–FY2023 are not reconciled. Definition choice is open: see Review_Flags.</t>
  </si>
  <si>
    <t xml:space="preserve">Interest Expense</t>
  </si>
  <si>
    <t xml:space="preserve">FY2023–FY2025 reconciled to the FY2025 Form 10-K income statement (checked 2026-10-28). FY2023 was 0.30 in the previous version; the filing shows 0.235. 2021–2022 differ from secondary sources (0.211 / 0.208).</t>
  </si>
  <si>
    <t xml:space="preserve">Interest Coverage Ratio</t>
  </si>
  <si>
    <t xml:space="preserve">Aon</t>
  </si>
  <si>
    <t xml:space="preserve">https://www.sec.gov/Archives/edgar/data/315293/000162828026008116/aon-20251231.htm</t>
  </si>
  <si>
    <t xml:space="preserve">Historical and TTM values have not all been reconciled to the cash-flow statement; do not treat as confirmed.</t>
  </si>
  <si>
    <t xml:space="preserve">Not independently reconciled to the corresponding balance-sheet line items in this pass. Ratios using this row are provisional.</t>
  </si>
  <si>
    <t xml:space="preserve">FY2023–FY2025 verified only where updated; any blank/unchanged year, 2021–2022, and 2026_TTM require source-line review. Definitions can differ across issuers.</t>
  </si>
  <si>
    <t xml:space="preserve">MMC</t>
  </si>
  <si>
    <t xml:space="preserve">https://www.sec.gov/Archives/edgar/data/62709/000006270926000022/mrsh-20251231.htm</t>
  </si>
  <si>
    <t xml:space="preserve">AJG</t>
  </si>
  <si>
    <t xml:space="preserve">https://www.sec.gov/Archives/edgar/data/354190/000162828026008662/ajg-20251231.htm</t>
  </si>
  <si>
    <t xml:space="preserve">Operating Income / EBIT Proxy (see notes)</t>
  </si>
  <si>
    <t xml:space="preserve">Derived proxy — FY2023–FY2025</t>
  </si>
  <si>
    <t xml:space="preserve">FY2023–FY2025 values are income before income taxes plus interest expense; not reported EBIT and not fully comparable with other companies. 2021–2022 and 2026_TTM require review.</t>
  </si>
  <si>
    <t xml:space="preserve">https://www.sec.gov/Archives/edgar/data/354190/000162828026006662/ajg-20251231.htm</t>
  </si>
  <si>
    <t xml:space="preserve">BRO</t>
  </si>
  <si>
    <t xml:space="preserve">https://www.sec.gov/Archives/edgar/data/79282/000119312526046984/bro-20251231.htm</t>
  </si>
  <si>
    <t xml:space="preserve">Scenario</t>
  </si>
  <si>
    <t xml:space="preserve">Revenue Shock</t>
  </si>
  <si>
    <t xml:space="preserve">Stressed Revenue (USD bn)</t>
  </si>
  <si>
    <t xml:space="preserve">Stressed EBIT (USD bn)</t>
  </si>
  <si>
    <t xml:space="preserve">Stressed Interest Coverage (x)</t>
  </si>
  <si>
    <t xml:space="preserve">Illustrative Coverage Assessment</t>
  </si>
  <si>
    <t xml:space="preserve">DOL Assumption</t>
  </si>
  <si>
    <t xml:space="preserve">Formula / Scenario Meaning</t>
  </si>
  <si>
    <t xml:space="preserve">Baseline Period / Caveat</t>
  </si>
  <si>
    <t xml:space="preserve">Method Note</t>
  </si>
  <si>
    <t xml:space="preserve">Assumptions (inputs)</t>
  </si>
  <si>
    <t xml:space="preserve">Value</t>
  </si>
  <si>
    <t xml:space="preserve">Base Case</t>
  </si>
  <si>
    <t xml:space="preserve">Revenue = FY2025 revenue × (1 + shock); EBIT proxy = FY2025 EBIT × (1 + DOL × shock).</t>
  </si>
  <si>
    <t xml:space="preserve">FY2025 baseline; sensitivity analysis only, not a forecast.</t>
  </si>
  <si>
    <t xml:space="preserve">DOL = 2.5 is an explicit assumption. Coverage thresholds are illustrative, not validated credit ratings.</t>
  </si>
  <si>
    <t xml:space="preserve">DOL (degree of operating leverage)</t>
  </si>
  <si>
    <t xml:space="preserve">Mild Stress</t>
  </si>
  <si>
    <t xml:space="preserve">"Illustrative buffer" threshold (x)</t>
  </si>
  <si>
    <t xml:space="preserve">Severe Stress</t>
  </si>
  <si>
    <t xml:space="preserve">"Pressure" threshold (x)</t>
  </si>
  <si>
    <t xml:space="preserve">Critical Shock</t>
  </si>
  <si>
    <t xml:space="preserve">Period</t>
  </si>
  <si>
    <t xml:space="preserve">Debt-to-Equity</t>
  </si>
  <si>
    <t xml:space="preserve">Debt-to-EBITDA</t>
  </si>
  <si>
    <t xml:space="preserve">Free Cash Flow Margin</t>
  </si>
  <si>
    <t xml:space="preserve">Operating Cash Flow / Total Debt</t>
  </si>
  <si>
    <t xml:space="preserve">Formula / Interpretation</t>
  </si>
  <si>
    <t xml:space="preserve">Limitations / Status</t>
  </si>
  <si>
    <t xml:space="preserve">Operating Profit Margin (EBIT / Revenue)</t>
  </si>
  <si>
    <t xml:space="preserve">N/A — equity data unavailable</t>
  </si>
  <si>
    <t xml:space="preserve">N/A — EBITDA inputs unavailable</t>
  </si>
  <si>
    <t xml:space="preserve">Current ratio = current assets / current liabilities; coverage = EBIT / interest expense; FCF margin = FCF / revenue; OCF/debt = operating cash flow / total debt.</t>
  </si>
  <si>
    <t xml:space="preserve">Provisional: formula-driven, but source inputs for balance-sheet and cash-flow ratios still need reconciliation. Debt-to-Equity and Debt-to-EBITDA unavailable.</t>
  </si>
  <si>
    <t xml:space="preserve">FY2025 Revenue (USD bn)</t>
  </si>
  <si>
    <t xml:space="preserve">FY2025 EBIT (USD bn)</t>
  </si>
  <si>
    <t xml:space="preserve">FY2025 Net Income (USD bn)</t>
  </si>
  <si>
    <t xml:space="preserve">Debt / Revenue</t>
  </si>
  <si>
    <t xml:space="preserve">Operating Cash Flow (USD bn)</t>
  </si>
  <si>
    <t xml:space="preserve">Free Cash Flow (USD bn)</t>
  </si>
  <si>
    <t xml:space="preserve">FCF Margin</t>
  </si>
  <si>
    <t xml:space="preserve">Data Status / Caveat</t>
  </si>
  <si>
    <t xml:space="preserve">Mild Stress EBIT (USD bn)</t>
  </si>
  <si>
    <t xml:space="preserve">Severe Stress EBIT (USD bn)</t>
  </si>
  <si>
    <t xml:space="preserve">Severe Stress Coverage (x)</t>
  </si>
  <si>
    <t xml:space="preserve">Strength / Risk Note</t>
  </si>
  <si>
    <t xml:space="preserve">Source Note</t>
  </si>
  <si>
    <t xml:space="preserve">FY2025 reported values linked from Financial_Metrics; other linked ratios remain provisional where source inputs are unverified.</t>
  </si>
  <si>
    <t xml:space="preserve">Peer comparison is descriptive; verify source inputs and definitions before drawing investment conclusions.</t>
  </si>
  <si>
    <t xml:space="preserve">Source links are in Financial_Metrics; figures are not independently audited in this correction.</t>
  </si>
  <si>
    <t xml:space="preserve">EBIT is a derived proxy, not directly reported EBIT; source/period comparability limited.</t>
  </si>
  <si>
    <t xml:space="preserve">Interpretation note</t>
  </si>
  <si>
    <t xml:space="preserve">This peer panel is descriptive. It is not a calibrated default-probability model. FY2025 values are linked to the Financial_Metrics sheet; see Audit_Log for corrected figures and remaining verification gaps.</t>
  </si>
  <si>
    <t xml:space="preserve">Priority</t>
  </si>
  <si>
    <t xml:space="preserve">Area</t>
  </si>
  <si>
    <t xml:space="preserve">Cells / scope</t>
  </si>
  <si>
    <t xml:space="preserve">Current finding</t>
  </si>
  <si>
    <t xml:space="preserve">Action required</t>
  </si>
  <si>
    <t xml:space="preserve">Status</t>
  </si>
  <si>
    <t xml:space="preserve">High</t>
  </si>
  <si>
    <t xml:space="preserve">Historical source values</t>
  </si>
  <si>
    <t xml:space="preserve">Financial_Metrics C:D and H; all companies</t>
  </si>
  <si>
    <t xml:space="preserve">2021–2022 and 2026_TTM values are not fully reconciled. Some older values are rounded estimates while prior statuses implied confirmation.</t>
  </si>
  <si>
    <t xml:space="preserve">Reconcile each remaining value to issuer annual/interim filings; change status only after checking the source line.</t>
  </si>
  <si>
    <t xml:space="preserve">Resolved in part</t>
  </si>
  <si>
    <t xml:space="preserve">Revenue growth spikes</t>
  </si>
  <si>
    <t xml:space="preserve">Financial_Metrics rows 17,31,45,59</t>
  </si>
  <si>
    <t xml:space="preserve">FY2023–FY2025 revenues for Aon, MMC, AJG and BRO were updated from FY2025 Form 10-Ks. Growth formulas now recalculate from the corrected reported revenue values.</t>
  </si>
  <si>
    <t xml:space="preserve">Review 2021–2022 revenue inputs and check organic vs reported growth separately if discussing business performance.</t>
  </si>
  <si>
    <t xml:space="preserve">Partially resolved</t>
  </si>
  <si>
    <t xml:space="preserve">Resolved</t>
  </si>
  <si>
    <t xml:space="preserve">WTW FY2024 net income</t>
  </si>
  <si>
    <t xml:space="preserve">Financial_Metrics F5</t>
  </si>
  <si>
    <t xml:space="preserve">Updated from -0.100 to -0.098 USD bn, consistent with net income attributable to WTW in the FY2025 Form 10-K; the reported attributable net loss is real and linked to significant TRANZACT-related items.</t>
  </si>
  <si>
    <t xml:space="preserve">Retain the caveat about non-recurring impairment/disposal effects; do not compare net margin without context.</t>
  </si>
  <si>
    <t xml:space="preserve">Resolved for FY2024</t>
  </si>
  <si>
    <t xml:space="preserve">WTW FY2021 net income</t>
  </si>
  <si>
    <t xml:space="preserve">Financial_Metrics C5</t>
  </si>
  <si>
    <t xml:space="preserve">Value 4.22 remains unverified in this pass and is an outlier versus adjacent years.</t>
  </si>
  <si>
    <t xml:space="preserve">Check FY2021 Form 10-K and whether the figure is attributable net income, continuing operations, or includes discontinued operations.</t>
  </si>
  <si>
    <t xml:space="preserve">WTW capex / interest expense overlap</t>
  </si>
  <si>
    <t xml:space="preserve">Financial_Metrics C8:E8 vs C14:E14</t>
  </si>
  <si>
    <t xml:space="preserve">Values remain identical for 2021–2023; FY2024 and FY2025 were corrected to capex 0.245/0.229 and interest expense 0.263/0.260.</t>
  </si>
  <si>
    <t xml:space="preserve">Verify WTW FY2021–FY2023 cash-flow capex and interest expense separately.</t>
  </si>
  <si>
    <t xml:space="preserve">Medium</t>
  </si>
  <si>
    <t xml:space="preserve">Interest expense series</t>
  </si>
  <si>
    <t xml:space="preserve">Financial_Metrics rows 14,28,42,56,70</t>
  </si>
  <si>
    <t xml:space="preserve">FY2025 values for all five companies are now tied to the 2025 10-Ks. Several older periods remain unverified; interest definitions may differ by issuer.</t>
  </si>
  <si>
    <t xml:space="preserve">Reconcile every remaining year. Add explanatory note for large changes due to debt issuance/acquisitions rather than treating a spike as an error.</t>
  </si>
  <si>
    <t xml:space="preserve">FY2026 TTM growth comparison</t>
  </si>
  <si>
    <t xml:space="preserve">Financial_Metrics H3,H17,H31,H45,H59</t>
  </si>
  <si>
    <t xml:space="preserve">TTM was previously divided by FY2025 and labelled as YoY. The TTM growth cell is now explicitly unavailable because a comparable prior TTM period is not present.</t>
  </si>
  <si>
    <t xml:space="preserve">If desired, add TTM ending date and prior-year same-period values to calculate true TTM YoY.</t>
  </si>
  <si>
    <t xml:space="preserve">Balance-sheet inputs</t>
  </si>
  <si>
    <t xml:space="preserve">Financial_Metrics rows for Current Assets, Current Liabilities, Total Debt</t>
  </si>
  <si>
    <t xml:space="preserve">These inputs and their derived ratios remain provisional because every value has not been reconciled to balance-sheet/debt-note line items.</t>
  </si>
  <si>
    <t xml:space="preserve">Verify current/noncurrent classification and whether debt means interest-bearing debt; then update current ratio and debt/revenue.</t>
  </si>
  <si>
    <t xml:space="preserve">Cash-flow inputs</t>
  </si>
  <si>
    <t xml:space="preserve">Financial_Metrics rows for Operating Cash Flow, Capital Expenditures, Free Cash Flow</t>
  </si>
  <si>
    <t xml:space="preserve">Only selected WTW FY2024–FY2025 cash-flow values were updated; other company/year values remain provisional. Free cash flow is formula-driven from OCF less capex.</t>
  </si>
  <si>
    <t xml:space="preserve">Reconcile all cash-flow inputs and confirm the workbook’s capex sign convention.</t>
  </si>
  <si>
    <t xml:space="preserve">EBIT comparability</t>
  </si>
  <si>
    <t xml:space="preserve">Financial_Metrics rows 46 and 60; Peer_Comparison</t>
  </si>
  <si>
    <t xml:space="preserve">AJG and BRO figures are labelled earnings proxies, derived as income before income taxes plus interest expense; they are not directly reported EBIT.</t>
  </si>
  <si>
    <t xml:space="preserve">Keep the proxy label in tables/charts, or replace with a consistently defined reported operating income if comparable line items can be sourced.</t>
  </si>
  <si>
    <t xml:space="preserve">Documented limitation</t>
  </si>
  <si>
    <t xml:space="preserve">Missing ratios</t>
  </si>
  <si>
    <t xml:space="preserve">Financial_Ratios columns E:F</t>
  </si>
  <si>
    <t xml:space="preserve">Debt-to-Equity and Debt-to-EBITDA remain unavailable because total equity and comparable EBITDA inputs are not in the model.</t>
  </si>
  <si>
    <t xml:space="preserve">Keep as N/A until verified equity and EBITDA values are added; do not estimate missing values.</t>
  </si>
  <si>
    <t xml:space="preserve">Stress-test assumptions</t>
  </si>
  <si>
    <t xml:space="preserve">Stress_Test_Matrix N2:N4</t>
  </si>
  <si>
    <t xml:space="preserve">DOL=2.5 and coverage thresholds 5x / 2x are illustrative assumptions, not empirical estimates or credit ratings.</t>
  </si>
  <si>
    <t xml:space="preserve">Keep assumptions visible; run sensitivity scenarios and avoid calling the output probability of default.</t>
  </si>
  <si>
    <t xml:space="preserve">2026_TTM interest expense</t>
  </si>
  <si>
    <t xml:space="preserve">Financial_Metrics H14, H28, H42, H56, H70; Financial_Ratios column D (2026_TTM rows)</t>
  </si>
  <si>
    <t xml:space="preserve">2026_TTM interest expense is 35–44% below FY2025 for Aon, MMC, AJG and BRO even though their TTM total debt is higher. This lifts TTM interest coverage (Aon 5.3x → 8.1x, MMC 6.5x → 10.3x, AJG 3.9x → 8.6x, BRO 5.6x → 10.9x). WTW moves the other way (+31%). The pattern does not fit the debt trend and may be a data-entry or period-definition issue.</t>
  </si>
  <si>
    <t xml:space="preserve">Reconcile 2026_TTM interest expense to the latest 10-Q (trailing four quarters). Until then, do not cite 2026_TTM coverage.</t>
  </si>
  <si>
    <t xml:space="preserve">Current ratio comparability</t>
  </si>
  <si>
    <t xml:space="preserve">Financial_Metrics Current Assets / Current Liabilities rows; Financial_Ratios column C; Peer_Comparison column F</t>
  </si>
  <si>
    <t xml:space="preserve">FY2025 current ratios range from 0.95x (Aon) to 1.41x (BRO). Insurance brokers hold large fiduciary (client-money) assets and liabilities, so the ratio can differ because of classification rather than liquidity. The workbook does not confirm that all five companies are treated the same way.</t>
  </si>
  <si>
    <t xml:space="preserve">Confirm whether fiduciary assets and liabilities are included for each company, apply one treatment to all five, and record it on the Methodology sheet.</t>
  </si>
  <si>
    <t xml:space="preserve">WTW inputs corrected vs 10-K</t>
  </si>
  <si>
    <t xml:space="preserve">Financial_Metrics E5, E7, E8, E14, F10, F11, F13 (changed); G10, G11, G13 (rounded to exact)</t>
  </si>
  <si>
    <t xml:space="preserve">Seven WTW inputs differed from the FY2025 Form 10-K, for example 2023 operating cash flow (1.49 vs 1.345), 2023 interest expense (0.30 vs 0.235), 2023 net income (consolidated 1.064 used instead of attributable 1.055) and 2024 current assets (16.01 vs 15.105). All are corrected, and three rounded FY2025 figures were made exact; every change is logged in Audit_Log.</t>
  </si>
  <si>
    <t xml:space="preserve">Re-run the same comparison for the other four companies.</t>
  </si>
  <si>
    <t xml:space="preserve">Resolved for FY2023–FY2025</t>
  </si>
  <si>
    <t xml:space="preserve">WTW 2021–2022 inputs</t>
  </si>
  <si>
    <t xml:space="preserve">Financial_Metrics C and D, WTW rows (EBIT, interest expense, cash flow, capex, balance sheet)</t>
  </si>
  <si>
    <t xml:space="preserve">Two or more secondary sources agree on values that differ materially from the model: EBIT 2.202 / 1.178 (model 1.75 / 1.81), interest expense 0.211 / 0.208 (model 0.28 / 0.30), operating cash flow 2.061 / 0.812 (model 2.11 / 0.97), capex 0.201 / 0.204 (model 0.28 / 0.30), plus current assets and liabilities.</t>
  </si>
  <si>
    <t xml:space="preserve">Check the FY2021 and FY2022 Forms 10-K, then overwrite and log. Not changed here because only secondary sources were seen.</t>
  </si>
  <si>
    <t xml:space="preserve">Aon, MMC, AJG, BRO not re-verified</t>
  </si>
  <si>
    <t xml:space="preserve">Financial_Metrics rows 16–71</t>
  </si>
  <si>
    <t xml:space="preserve">Only WTW was checked against filings in this pass. Seven of WTW's previously unverified or partly verified inputs were wrong, so the other four companies should be expected to have similar errors.</t>
  </si>
  <si>
    <t xml:space="preserve">Verify FY2023–FY2025 for each company against its FY2025 Form 10-K first, then earlier years and TTM.</t>
  </si>
  <si>
    <t xml:space="preserve">2026_TTM period undefined</t>
  </si>
  <si>
    <t xml:space="preserve">Financial_Metrics column H; Financial_Ratios 2026_TTM rows</t>
  </si>
  <si>
    <t xml:space="preserve">The TTM columns do not state a period end. For WTW, a secondary source shows trailing-twelve-month operating cash flow of 1.800 and capex of 0.233 to March 2026, against 2.04 and 0.35 in the model, so the column does not match any period checked. Later 10-Qs are now available.</t>
  </si>
  <si>
    <t xml:space="preserve">Choose a period end, then rebuild TTM as the latest fiscal year plus current year-to-date minus prior year-to-date, from the 10-Q.</t>
  </si>
  <si>
    <t xml:space="preserve">Total debt definition</t>
  </si>
  <si>
    <t xml:space="preserve">Financial_Metrics Total Debt rows</t>
  </si>
  <si>
    <t xml:space="preserve">WTW FY2025 total debt is 6.903 with lease liabilities (current debt 550 + long-term debt 5,756 + leases 597) and 6.306 without. The other four companies' definitions are unconfirmed, which would distort Debt / Revenue and operating cash flow / debt comparisons.</t>
  </si>
  <si>
    <t xml:space="preserve">Pick one definition for all five companies and record it on the Methodology sheet.</t>
  </si>
  <si>
    <t xml:space="preserve">Topic</t>
  </si>
  <si>
    <t xml:space="preserve">Method / Explanation</t>
  </si>
  <si>
    <t xml:space="preserve">Status / Limitation</t>
  </si>
  <si>
    <t xml:space="preserve">Data sources</t>
  </si>
  <si>
    <t xml:space="preserve">Official issuer FY2025 Form 10-K URLs are listed in Financial_Metrics and Audit_Log for the metrics updated in this pass.</t>
  </si>
  <si>
    <t xml:space="preserve">Only specified FY2023–FY2025 metrics were reconciled; this is not a full audit of every value.</t>
  </si>
  <si>
    <t xml:space="preserve">Units and periods</t>
  </si>
  <si>
    <t xml:space="preserve">Financial statement values are intended to be USD billions; ratios are multiples or percentages.</t>
  </si>
  <si>
    <t xml:space="preserve">Confirm units and fiscal-year definitions. 2026_TTM may not be directly comparable with fiscal years.</t>
  </si>
  <si>
    <t xml:space="preserve">Source-data preservation</t>
  </si>
  <si>
    <t xml:space="preserve">All hardcoded input values on Financial_Metrics (blue text) were preserved from the uploaded workbook. Only the "Calculated" rows were converted from static numbers to formulas; they reproduce the old values to rounding.</t>
  </si>
  <si>
    <t xml:space="preserve">Preservation does not mean the underlying source values have been independently verified.</t>
  </si>
  <si>
    <t xml:space="preserve">Formula-driven ratios</t>
  </si>
  <si>
    <t xml:space="preserve">Growth, margin, FCF, current ratio and interest coverage on Financial_Metrics are now live formulas; downstream ratios link to them. Current Ratio = Current Assets / Current Liabilities; Interest Coverage = EBIT / Interest Expense; FCF Margin = FCF / Revenue; OCF / Debt = Operating Cash Flow / Total Debt.</t>
  </si>
  <si>
    <t xml:space="preserve">Formulas are linked to Financial_Metrics; formula correctness does not validate the source inputs.</t>
  </si>
  <si>
    <t xml:space="preserve">Unavailable ratios</t>
  </si>
  <si>
    <t xml:space="preserve">Debt-to-Equity and Debt-to-EBITDA are marked unavailable.</t>
  </si>
  <si>
    <t xml:space="preserve">The workbook does not contain the required total equity and EBITDA inputs for reliable calculations.</t>
  </si>
  <si>
    <t xml:space="preserve">Stress-test method</t>
  </si>
  <si>
    <t xml:space="preserve">Stressed revenue = FY2025 revenue × (1 + shock). Stressed EBIT proxy = FY2025 EBIT × (1 + DOL × shock). DOL and the two coverage thresholds are single input cells at Stress_Test_Matrix!N2:N4.</t>
  </si>
  <si>
    <t xml:space="preserve">DOL and coverage thresholds are illustrative assumptions, not empirically estimated forecasts or credit ratings.</t>
  </si>
  <si>
    <t xml:space="preserve">Peer comparison</t>
  </si>
  <si>
    <t xml:space="preserve">FY2025 values and derived ratios are linked to Financial_Metrics; stress outputs link to Stress_Test_Matrix.</t>
  </si>
  <si>
    <t xml:space="preserve">Use as an analytical prototype only until each source value is reconciled to the corresponding annual report.</t>
  </si>
  <si>
    <t xml:space="preserve">Correction log</t>
  </si>
  <si>
    <t xml:space="preserve">This version restores and preserves the source values from Insurance_Brokers_Peer_Ultimate_Model (6).xlsx; formulas were added only to downstream analytical sheets.</t>
  </si>
  <si>
    <t xml:space="preserve">The earlier corrected version should not be used as the source of truth because it changed source figures.</t>
  </si>
  <si>
    <t xml:space="preserve">See the Review_Flags sheet for data anomalies found during review.</t>
  </si>
  <si>
    <t xml:space="preserve">These items are flagged, not changed. Source values were left as provided.</t>
  </si>
  <si>
    <t xml:space="preserve">FY2023–FY2025 audit pass</t>
  </si>
  <si>
    <t xml:space="preserve">Revenue, operating income where reported, net income and selected interest expense values were reconciled against FY2025 Form 10-Ks for WTW, Aon, MMC, AJG and BRO.</t>
  </si>
  <si>
    <t xml:space="preserve">This is a partial source audit, not a complete audit of all rows or years. See Audit_Log.</t>
  </si>
  <si>
    <t xml:space="preserve">Status semantics</t>
  </si>
  <si>
    <t xml:space="preserve">Verified = value traced to a specific primary-source line; Partially verified = only named periods verified; Needs review = not yet reconciled; Calculated = formula output; Derived proxy = explicitly computed substitute.</t>
  </si>
  <si>
    <t xml:space="preserve">Do not use unverified current assets, current liabilities, debt, cash-flow or 2026_TTM values for firm conclusions.</t>
  </si>
  <si>
    <t xml:space="preserve">Growth and TTM</t>
  </si>
  <si>
    <t xml:space="preserve">FY growth is calculated only for FY2022–FY2025. The 2026_TTM growth cell is intentionally not calculated because the prior TTM comparator is absent.</t>
  </si>
  <si>
    <t xml:space="preserve">Do not compare 2026_TTM with FY2025 and label it YoY.</t>
  </si>
  <si>
    <t xml:space="preserve">AJG and BRO values are explicitly labelled EBIT proxies derived as income before income taxes plus interest expense; they are not directly reported EBIT.</t>
  </si>
  <si>
    <t xml:space="preserve">Cross-company EBIT margin/coverage comparisons must carry this caveat.</t>
  </si>
  <si>
    <t xml:space="preserve">Revenue growth interpretation</t>
  </si>
  <si>
    <t xml:space="preserve">FY2024 and FY2025 growth use corrected FY2023–FY2025 revenue values. FY2023 growth still depends on the prior-year FY2022 value, which remains under review.</t>
  </si>
  <si>
    <t xml:space="preserve">Use FY2024/FY2025 for current comparisons; do not interpret 2026_TTM as YoY.</t>
  </si>
  <si>
    <t xml:space="preserve">v3 presentation update</t>
  </si>
  <si>
    <t xml:space="preserve">No input values or existing formulas were changed. Added a Summary sheet (linked to the model, with charts); status colour-coding on Financial_Metrics, Stress_Test_Matrix and Review_Flags; frozen label columns; readable column widths and text wrapping; corrected filter ranges on Methodology and Peer_Comparison; and two new Review_Flags rows (2026_TTM interest expense, current-ratio comparability).</t>
  </si>
  <si>
    <t xml:space="preserve">Data reliability is unchanged: the open flags on Review_Flags still apply.</t>
  </si>
  <si>
    <t xml:space="preserve">v4 verification pass (WTW)</t>
  </si>
  <si>
    <t xml:space="preserve">Each WTW input was compared with the FY2025 Form 10-K (income statement, cash-flow statement, balance sheet). Values read from the filing are marked Verified or Corrected on Source_Verification; values seen only on aggregator sites are shown as cross-checks and never overwrite the model. Corrections keep the old value in Audit_Log. Revenue is derived as total costs of providing services plus income from operations. Total debt includes lease liabilities (see Review_Flags). Operating Profit Margin (EBIT / Revenue) was added to Financial_Ratios, column K.</t>
  </si>
  <si>
    <t xml:space="preserve">Aon, MMC, AJG and BRO are not yet re-verified. Page numbers are not recorded: the filing was read as text, so statements are cited by name. Date checked: 2026-10-28.</t>
  </si>
  <si>
    <t xml:space="preserve">Source verification register</t>
  </si>
  <si>
    <t xml:space="preserve">Each row compares one model input with a source. Only values read from the SEC filing are marked verified; values seen on aggregator sites are listed as cross-checks and are never used to overwrite the model. Pass 1 covers WTW; Aon, MMC, AJG and BRO are not yet checked.</t>
  </si>
  <si>
    <t xml:space="preserve">Metric</t>
  </si>
  <si>
    <t xml:space="preserve">Model cell</t>
  </si>
  <si>
    <t xml:space="preserve">Value before audit (USD bn)</t>
  </si>
  <si>
    <t xml:space="preserve">Source value (USD mn)</t>
  </si>
  <si>
    <t xml:space="preserve">Source value (USD bn)</t>
  </si>
  <si>
    <t xml:space="preserve">Current model value (USD bn)</t>
  </si>
  <si>
    <t xml:space="preserve">Difference (model − source)</t>
  </si>
  <si>
    <t xml:space="preserve">Live check</t>
  </si>
  <si>
    <t xml:space="preserve">Verification status</t>
  </si>
  <si>
    <t xml:space="preserve">Source type</t>
  </si>
  <si>
    <t xml:space="preserve">Source document / site</t>
  </si>
  <si>
    <t xml:space="preserve">Statement / section</t>
  </si>
  <si>
    <t xml:space="preserve">Page</t>
  </si>
  <si>
    <t xml:space="preserve">Date checked</t>
  </si>
  <si>
    <t xml:space="preserve">Notes</t>
  </si>
  <si>
    <t xml:space="preserve">G2</t>
  </si>
  <si>
    <t xml:space="preserve">Verified — primary</t>
  </si>
  <si>
    <t xml:space="preserve">Primary — SEC filing</t>
  </si>
  <si>
    <t xml:space="preserve">WTW Form 10-K, FY ended 31 Dec 2025 (SEC EDGAR)</t>
  </si>
  <si>
    <t xml:space="preserve">Consolidated Statements of Comprehensive Income</t>
  </si>
  <si>
    <t xml:space="preserve">Item 8 (starts p.71); exact page not captured</t>
  </si>
  <si>
    <t xml:space="preserve">Derived: total costs of providing services 7,474 + income from operations 2,234 (revenue line itself not viewed).</t>
  </si>
  <si>
    <t xml:space="preserve">F2</t>
  </si>
  <si>
    <t xml:space="preserve">Derived: total costs 9,303 + income from operations 627.</t>
  </si>
  <si>
    <t xml:space="preserve">E2</t>
  </si>
  <si>
    <t xml:space="preserve">Derived: total costs 8,118 + income from operations 1,365.</t>
  </si>
  <si>
    <t xml:space="preserve">G4</t>
  </si>
  <si>
    <t xml:space="preserve">Income from operations.</t>
  </si>
  <si>
    <t xml:space="preserve">F4</t>
  </si>
  <si>
    <t xml:space="preserve">E4</t>
  </si>
  <si>
    <t xml:space="preserve">Net income attributable</t>
  </si>
  <si>
    <t xml:space="preserve">G5</t>
  </si>
  <si>
    <t xml:space="preserve">Net income attributable to WTW.</t>
  </si>
  <si>
    <t xml:space="preserve">F5</t>
  </si>
  <si>
    <t xml:space="preserve">Net loss attributable to WTW.</t>
  </si>
  <si>
    <t xml:space="preserve">E5</t>
  </si>
  <si>
    <t xml:space="preserve">Corrected — primary</t>
  </si>
  <si>
    <t xml:space="preserve">Attributable to WTW. Consolidated net income was 1,064 (before 9 non-controlling interests).</t>
  </si>
  <si>
    <t xml:space="preserve">Interest expense</t>
  </si>
  <si>
    <t xml:space="preserve">G14</t>
  </si>
  <si>
    <t xml:space="preserve">Interest expense.</t>
  </si>
  <si>
    <t xml:space="preserve">F14</t>
  </si>
  <si>
    <t xml:space="preserve">E14</t>
  </si>
  <si>
    <t xml:space="preserve">Operating cash flow</t>
  </si>
  <si>
    <t xml:space="preserve">G7</t>
  </si>
  <si>
    <t xml:space="preserve">Consolidated Statements of Cash Flows</t>
  </si>
  <si>
    <t xml:space="preserve">Net cash from operating activities.</t>
  </si>
  <si>
    <t xml:space="preserve">F7</t>
  </si>
  <si>
    <t xml:space="preserve">E7</t>
  </si>
  <si>
    <t xml:space="preserve">Capital expenditures</t>
  </si>
  <si>
    <t xml:space="preserve">G8</t>
  </si>
  <si>
    <t xml:space="preserve">Additions to fixed assets and software (shown as outflow).</t>
  </si>
  <si>
    <t xml:space="preserve">F8</t>
  </si>
  <si>
    <t xml:space="preserve">Additions to fixed assets and software.</t>
  </si>
  <si>
    <t xml:space="preserve">E8</t>
  </si>
  <si>
    <t xml:space="preserve">Current assets</t>
  </si>
  <si>
    <t xml:space="preserve">G10</t>
  </si>
  <si>
    <t xml:space="preserve">Consolidated Balance Sheets</t>
  </si>
  <si>
    <t xml:space="preserve">Total current assets (includes fiduciary assets of 10,445).</t>
  </si>
  <si>
    <t xml:space="preserve">F10</t>
  </si>
  <si>
    <t xml:space="preserve">Total current assets (includes fiduciary assets of 9,504).</t>
  </si>
  <si>
    <t xml:space="preserve">Current liabilities</t>
  </si>
  <si>
    <t xml:space="preserve">G11</t>
  </si>
  <si>
    <t xml:space="preserve">Total current liabilities (includes fiduciary liabilities of 10,445).</t>
  </si>
  <si>
    <t xml:space="preserve">F11</t>
  </si>
  <si>
    <t xml:space="preserve">Total current liabilities (includes fiduciary liabilities of 9,504).</t>
  </si>
  <si>
    <t xml:space="preserve">Total debt</t>
  </si>
  <si>
    <t xml:space="preserve">G13</t>
  </si>
  <si>
    <t xml:space="preserve">Derived: current debt 550 + long-term debt 5,756 + current lease 125 + long-term lease 472. Excluding leases: 6,306.</t>
  </si>
  <si>
    <t xml:space="preserve">F13</t>
  </si>
  <si>
    <t xml:space="preserve">Derived: current debt 0 + long-term debt 5,309 + current lease 118 + long-term lease 502. Excluding leases: 5,309.</t>
  </si>
  <si>
    <t xml:space="preserve">D2</t>
  </si>
  <si>
    <t xml:space="preserve">Cross-check — rounding only (secondary)</t>
  </si>
  <si>
    <t xml:space="preserve">Secondary — aggregator (not primary)</t>
  </si>
  <si>
    <t xml:space="preserve">finboard.net; tipranks.com</t>
  </si>
  <si>
    <t xml:space="preserve">Aggregator table of SEC-filed data; not checked against the filing</t>
  </si>
  <si>
    <t xml:space="preserve">https://finboard.net/companies/WTW/raw/income-statement</t>
  </si>
  <si>
    <t xml:space="preserve">Rounded in model.</t>
  </si>
  <si>
    <t xml:space="preserve">C2</t>
  </si>
  <si>
    <t xml:space="preserve">D4</t>
  </si>
  <si>
    <t xml:space="preserve">Discrepancy — secondary only, model not changed</t>
  </si>
  <si>
    <t xml:space="preserve">finboard.net (single source)</t>
  </si>
  <si>
    <t xml:space="preserve">C4</t>
  </si>
  <si>
    <t xml:space="preserve">D5</t>
  </si>
  <si>
    <t xml:space="preserve">marketbeat.com; tipranks.com</t>
  </si>
  <si>
    <t xml:space="preserve">https://www.marketbeat.com/stocks/NASDAQ/WTW/financials</t>
  </si>
  <si>
    <t xml:space="preserve">C5</t>
  </si>
  <si>
    <t xml:space="preserve">Matches the model's outlier flag: real, not an error.</t>
  </si>
  <si>
    <t xml:space="preserve">D14</t>
  </si>
  <si>
    <t xml:space="preserve">finboard.net; chartrow.com</t>
  </si>
  <si>
    <t xml:space="preserve">https://chartrow.com/quote/wtw/financials</t>
  </si>
  <si>
    <t xml:space="preserve">C14</t>
  </si>
  <si>
    <t xml:space="preserve">D7</t>
  </si>
  <si>
    <t xml:space="preserve">stockopedia.com; stockanalysis.com</t>
  </si>
  <si>
    <t xml:space="preserve">https://stockanalysis.com/stocks/wtw/financials/cash-flow-statement/</t>
  </si>
  <si>
    <t xml:space="preserve">C7</t>
  </si>
  <si>
    <t xml:space="preserve">D8</t>
  </si>
  <si>
    <t xml:space="preserve">Fixed assets 138 + intangibles 66.</t>
  </si>
  <si>
    <t xml:space="preserve">C8</t>
  </si>
  <si>
    <t xml:space="preserve">Fixed assets 148 + intangibles 53.</t>
  </si>
  <si>
    <t xml:space="preserve">E10</t>
  </si>
  <si>
    <t xml:space="preserve">app.edgar.tools; stockanalysis.com; finboard.net</t>
  </si>
  <si>
    <t xml:space="preserve">https://app.edgar.tools/companies/WTW</t>
  </si>
  <si>
    <t xml:space="preserve">FY2023 10-K not retrieved.</t>
  </si>
  <si>
    <t xml:space="preserve">D10</t>
  </si>
  <si>
    <t xml:space="preserve">C10</t>
  </si>
  <si>
    <t xml:space="preserve">E11</t>
  </si>
  <si>
    <t xml:space="preserve">D11</t>
  </si>
  <si>
    <t xml:space="preserve">C11</t>
  </si>
  <si>
    <t xml:space="preserve">E13</t>
  </si>
  <si>
    <t xml:space="preserve">stockanalysis.com (incl. leases)</t>
  </si>
  <si>
    <t xml:space="preserve">https://stockanalysis.com/stocks/wtw/financials/balance-sheet/</t>
  </si>
  <si>
    <t xml:space="preserve">Incl. leases; excl. leases 5,217.</t>
  </si>
  <si>
    <t xml:space="preserve">D13</t>
  </si>
  <si>
    <t xml:space="preserve">Incl. leases.</t>
  </si>
  <si>
    <t xml:space="preserve">C13</t>
  </si>
  <si>
    <t xml:space="preserve">H7</t>
  </si>
  <si>
    <t xml:space="preserve">TTM to Mar-2026 (Q1 10-Q). Model's TTM period end is undefined; a later 10-Q is now available.</t>
  </si>
  <si>
    <t xml:space="preserve">H8</t>
  </si>
  <si>
    <t xml:space="preserve">TTM to Mar-2026. See note above.</t>
  </si>
  <si>
    <t xml:space="preserve">Previous value</t>
  </si>
  <si>
    <t xml:space="preserve">Updated value</t>
  </si>
  <si>
    <t xml:space="preserve">Primary source</t>
  </si>
  <si>
    <t xml:space="preserve">Audit status / method</t>
  </si>
  <si>
    <t xml:space="preserve">Updated from FY2025 Form 10-K; USD bn</t>
  </si>
  <si>
    <t xml:space="preserve">Updated to net loss attributable to WTW per FY2025 Form 10-K; USD bn</t>
  </si>
  <si>
    <t xml:space="preserve">ALL</t>
  </si>
  <si>
    <t xml:space="preserve">2021–2022 financial inputs</t>
  </si>
  <si>
    <t xml:space="preserve">FY2021–FY2022</t>
  </si>
  <si>
    <t xml:space="preserve">—</t>
  </si>
  <si>
    <t xml:space="preserve">Issuer annual reports / SEC filings</t>
  </si>
  <si>
    <t xml:space="preserve">Needs review: not independently reconciled in this pass; original values preserved unless noted.</t>
  </si>
  <si>
    <t xml:space="preserve">TTM</t>
  </si>
  <si>
    <t xml:space="preserve">Issuer filings / interim reports</t>
  </si>
  <si>
    <t xml:space="preserve">Needs review: exact end date and rolling 12-month construction were not documented; not used as a year-over-year comparator.</t>
  </si>
  <si>
    <t xml:space="preserve">Current assets / current liabilities / total debt</t>
  </si>
  <si>
    <t xml:space="preserve">FY2021–TTM</t>
  </si>
  <si>
    <t xml:space="preserve">Issuer balance sheets / debt notes</t>
  </si>
  <si>
    <t xml:space="preserve">Needs review: current workbook values are not yet reconciled to line items and definitions. Derived ratios remain provisional.</t>
  </si>
  <si>
    <t xml:space="preserve">Operating cash flow / capital expenditures</t>
  </si>
  <si>
    <t xml:space="preserve">Issuer cash-flow statements</t>
  </si>
  <si>
    <t xml:space="preserve">Partially verified only where explicitly updated in Financial_Metrics. Remaining periods need source reconciliation.</t>
  </si>
  <si>
    <t xml:space="preserve">Operating Income / EBIT Proxy</t>
  </si>
  <si>
    <t xml:space="preserve">FY2023–FY2025</t>
  </si>
  <si>
    <t xml:space="preserve">1.482 / 2.256 / 2.510</t>
  </si>
  <si>
    <t xml:space="preserve">Derived as income before income taxes plus interest expense; not reported EBIT. Labelled proxy to avoid false comparability.</t>
  </si>
  <si>
    <t xml:space="preserve">1.336 / 1.496 / 1.668</t>
  </si>
  <si>
    <t xml:space="preserve">Debt-to-Equity / Debt-to-EBITDA</t>
  </si>
  <si>
    <t xml:space="preserve">All periods</t>
  </si>
  <si>
    <t xml:space="preserve">N/A</t>
  </si>
  <si>
    <t xml:space="preserve">Not calculated because equity and EBITDA inputs are not yet present and reconciled.</t>
  </si>
  <si>
    <t xml:space="preserve">Corrected to WTW FY2025 Form 10-K, Consolidated Statements of Comprehensive Income; USD bn; checked 2026-10-28. See Source_Verification.</t>
  </si>
  <si>
    <t xml:space="preserve">Corrected to WTW FY2025 Form 10-K, Consolidated Statements of Cash Flows; USD bn; checked 2026-10-28. See Source_Verification.</t>
  </si>
  <si>
    <t xml:space="preserve">Corrected to WTW FY2025 Form 10-K, Consolidated Balance Sheets; USD bn; checked 2026-10-28. See Source_Verification.</t>
  </si>
</sst>
</file>

<file path=xl/styles.xml><?xml version="1.0" encoding="utf-8"?>
<styleSheet xmlns="http://schemas.openxmlformats.org/spreadsheetml/2006/main">
  <numFmts count="14">
    <numFmt numFmtId="164" formatCode="General"/>
    <numFmt numFmtId="165" formatCode="#,##0.00"/>
    <numFmt numFmtId="166" formatCode="0.0%"/>
    <numFmt numFmtId="167" formatCode="0.00\x"/>
    <numFmt numFmtId="168" formatCode="General"/>
    <numFmt numFmtId="169" formatCode="0%"/>
    <numFmt numFmtId="170" formatCode="0.0"/>
    <numFmt numFmtId="171" formatCode="0.000"/>
    <numFmt numFmtId="172" formatCode="0.0%\ "/>
    <numFmt numFmtId="173" formatCode="0.0\x"/>
    <numFmt numFmtId="174" formatCode="0.0000"/>
    <numFmt numFmtId="175" formatCode="#,##0;\(#,##0\)"/>
    <numFmt numFmtId="176" formatCode="0.000;\-0.000;\-"/>
    <numFmt numFmtId="177" formatCode="yyyy\-mm\-dd"/>
  </numFmts>
  <fonts count="18">
    <font>
      <sz val="11"/>
      <color theme="1"/>
      <name val="Calibri"/>
      <family val="2"/>
      <charset val="1"/>
    </font>
    <font>
      <sz val="10"/>
      <name val="Arial"/>
      <family val="0"/>
    </font>
    <font>
      <sz val="10"/>
      <name val="Arial"/>
      <family val="0"/>
    </font>
    <font>
      <sz val="10"/>
      <name val="Arial"/>
      <family val="0"/>
    </font>
    <font>
      <b val="true"/>
      <sz val="16"/>
      <color rgb="FF1F4E78"/>
      <name val="Cambria"/>
      <family val="0"/>
      <charset val="1"/>
    </font>
    <font>
      <i val="true"/>
      <sz val="10"/>
      <color rgb="FF595959"/>
      <name val="Calibri"/>
      <family val="0"/>
      <charset val="1"/>
    </font>
    <font>
      <b val="true"/>
      <sz val="11"/>
      <color rgb="FFFFFFFF"/>
      <name val="Cambria"/>
      <family val="0"/>
      <charset val="1"/>
    </font>
    <font>
      <b val="true"/>
      <sz val="11"/>
      <color rgb="FF008000"/>
      <name val="Calibri"/>
      <family val="0"/>
      <charset val="1"/>
    </font>
    <font>
      <sz val="11"/>
      <color rgb="FF008000"/>
      <name val="Calibri"/>
      <family val="0"/>
      <charset val="1"/>
    </font>
    <font>
      <b val="true"/>
      <sz val="11"/>
      <name val="Calibri"/>
      <family val="0"/>
      <charset val="1"/>
    </font>
    <font>
      <b val="true"/>
      <sz val="12"/>
      <color rgb="FF1F4E78"/>
      <name val="Cambria"/>
      <family val="0"/>
      <charset val="1"/>
    </font>
    <font>
      <sz val="11"/>
      <color rgb="FF000000"/>
      <name val="Calibri"/>
      <family val="0"/>
      <charset val="1"/>
    </font>
    <font>
      <sz val="11"/>
      <name val="Calibri"/>
      <family val="0"/>
      <charset val="1"/>
    </font>
    <font>
      <b val="true"/>
      <sz val="18"/>
      <color rgb="FF000000"/>
      <name val="Calibri"/>
      <family val="2"/>
    </font>
    <font>
      <sz val="10"/>
      <color rgb="FF000000"/>
      <name val="Calibri"/>
      <family val="2"/>
    </font>
    <font>
      <b val="true"/>
      <sz val="10"/>
      <color rgb="FF000000"/>
      <name val="Calibri"/>
      <family val="2"/>
    </font>
    <font>
      <sz val="11"/>
      <color rgb="FF0000FF"/>
      <name val="Calibri"/>
      <family val="0"/>
      <charset val="1"/>
    </font>
    <font>
      <sz val="10"/>
      <name val="Arial"/>
      <family val="2"/>
    </font>
  </fonts>
  <fills count="8">
    <fill>
      <patternFill patternType="none"/>
    </fill>
    <fill>
      <patternFill patternType="gray125"/>
    </fill>
    <fill>
      <patternFill patternType="solid">
        <fgColor rgb="FF1F4E78"/>
        <bgColor rgb="FF003366"/>
      </patternFill>
    </fill>
    <fill>
      <patternFill patternType="solid">
        <fgColor rgb="FFF4CCCC"/>
        <bgColor rgb="FFD9D9D9"/>
      </patternFill>
    </fill>
    <fill>
      <patternFill patternType="solid">
        <fgColor rgb="FFFFF2CC"/>
        <bgColor rgb="FFEDEDED"/>
      </patternFill>
    </fill>
    <fill>
      <patternFill patternType="solid">
        <fgColor rgb="FFE4DFEC"/>
        <bgColor rgb="FFD9E2F3"/>
      </patternFill>
    </fill>
    <fill>
      <patternFill patternType="solid">
        <fgColor rgb="FFEDEDED"/>
        <bgColor rgb="FFE4DFEC"/>
      </patternFill>
    </fill>
    <fill>
      <patternFill patternType="solid">
        <fgColor rgb="FFFFFF00"/>
        <bgColor rgb="FFFFFF00"/>
      </patternFill>
    </fill>
  </fills>
  <borders count="4">
    <border diagonalUp="false" diagonalDown="false">
      <left/>
      <right/>
      <top/>
      <bottom/>
      <diagonal/>
    </border>
    <border diagonalUp="false" diagonalDown="false">
      <left/>
      <right/>
      <top style="thin">
        <color rgb="FF808080"/>
      </top>
      <bottom/>
      <diagonal/>
    </border>
    <border diagonalUp="false" diagonalDown="false">
      <left/>
      <right/>
      <top/>
      <bottom style="thin">
        <color rgb="FFD9E2F3"/>
      </bottom>
      <diagonal/>
    </border>
    <border diagonalUp="false" diagonalDown="false">
      <left/>
      <right/>
      <top style="thin">
        <color rgb="FF808080"/>
      </top>
      <bottom style="thin">
        <color rgb="FFD9E2F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center" vertical="bottom" textRotation="0" wrapText="false" indent="0" shrinkToFit="false"/>
      <protection locked="true" hidden="false"/>
    </xf>
    <xf numFmtId="166" fontId="8" fillId="0" borderId="0" xfId="0" applyFont="true" applyBorder="false" applyAlignment="true" applyProtection="false">
      <alignment horizontal="center" vertical="bottom" textRotation="0" wrapText="false" indent="0" shrinkToFit="false"/>
      <protection locked="true" hidden="false"/>
    </xf>
    <xf numFmtId="167" fontId="8"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6" fontId="9" fillId="0" borderId="1" xfId="0" applyFont="true" applyBorder="true" applyAlignment="true" applyProtection="false">
      <alignment horizontal="center" vertical="bottom" textRotation="0" wrapText="false" indent="0" shrinkToFit="false"/>
      <protection locked="true" hidden="false"/>
    </xf>
    <xf numFmtId="167" fontId="9"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true" applyProtection="false">
      <alignment horizontal="center" vertical="bottom" textRotation="0" wrapText="false" indent="0" shrinkToFit="false"/>
      <protection locked="true" hidden="false"/>
    </xf>
    <xf numFmtId="168" fontId="11" fillId="0" borderId="0" xfId="0" applyFont="true" applyBorder="false" applyAlignment="true" applyProtection="false">
      <alignment horizontal="center" vertical="bottom" textRotation="0" wrapText="false" indent="0" shrinkToFit="false"/>
      <protection locked="true" hidden="false"/>
    </xf>
    <xf numFmtId="168" fontId="9" fillId="0"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12" fillId="0" borderId="2" xfId="0" applyFont="true" applyBorder="true" applyAlignment="true" applyProtection="false">
      <alignment horizontal="general" vertical="top" textRotation="0" wrapText="false" indent="0" shrinkToFit="false"/>
      <protection locked="true" hidden="false"/>
    </xf>
    <xf numFmtId="171" fontId="16" fillId="0" borderId="2" xfId="0" applyFont="true" applyBorder="true" applyAlignment="true" applyProtection="false">
      <alignment horizontal="general" vertical="top" textRotation="0" wrapText="false" indent="0" shrinkToFit="false"/>
      <protection locked="true" hidden="false"/>
    </xf>
    <xf numFmtId="164" fontId="12" fillId="0" borderId="2" xfId="0" applyFont="true" applyBorder="true" applyAlignment="true" applyProtection="false">
      <alignment horizontal="general" vertical="top" textRotation="0" wrapText="true" indent="0" shrinkToFit="false"/>
      <protection locked="true" hidden="false"/>
    </xf>
    <xf numFmtId="164" fontId="0" fillId="0" borderId="2" xfId="0" applyFont="false" applyBorder="true" applyAlignment="true" applyProtection="false">
      <alignment horizontal="general" vertical="top" textRotation="0" wrapText="true" indent="0" shrinkToFit="false"/>
      <protection locked="true" hidden="false"/>
    </xf>
    <xf numFmtId="164" fontId="16" fillId="0" borderId="2" xfId="0" applyFont="true" applyBorder="true" applyAlignment="true" applyProtection="false">
      <alignment horizontal="general" vertical="top" textRotation="0" wrapText="true" indent="0" shrinkToFit="false"/>
      <protection locked="true" hidden="false"/>
    </xf>
    <xf numFmtId="172" fontId="11" fillId="0" borderId="2" xfId="0" applyFont="true" applyBorder="true" applyAlignment="true" applyProtection="false">
      <alignment horizontal="general" vertical="top" textRotation="0" wrapText="false" indent="0" shrinkToFit="false"/>
      <protection locked="true" hidden="false"/>
    </xf>
    <xf numFmtId="164" fontId="9" fillId="0" borderId="2" xfId="0" applyFont="true" applyBorder="true" applyAlignment="true" applyProtection="false">
      <alignment horizontal="general" vertical="top" textRotation="0" wrapText="true" indent="0" shrinkToFit="false"/>
      <protection locked="true" hidden="false"/>
    </xf>
    <xf numFmtId="164" fontId="12" fillId="3" borderId="2" xfId="0" applyFont="true" applyBorder="true" applyAlignment="true" applyProtection="false">
      <alignment horizontal="general" vertical="top" textRotation="0" wrapText="true" indent="0" shrinkToFit="false"/>
      <protection locked="true" hidden="false"/>
    </xf>
    <xf numFmtId="164" fontId="12" fillId="4" borderId="2" xfId="0" applyFont="true" applyBorder="true" applyAlignment="true" applyProtection="false">
      <alignment horizontal="general" vertical="top" textRotation="0" wrapText="true" indent="0" shrinkToFit="false"/>
      <protection locked="true" hidden="false"/>
    </xf>
    <xf numFmtId="164" fontId="12" fillId="5" borderId="2" xfId="0" applyFont="true" applyBorder="true" applyAlignment="true" applyProtection="false">
      <alignment horizontal="general" vertical="top" textRotation="0" wrapText="true" indent="0" shrinkToFit="false"/>
      <protection locked="true" hidden="false"/>
    </xf>
    <xf numFmtId="165" fontId="11" fillId="0" borderId="2" xfId="0" applyFont="true" applyBorder="true" applyAlignment="true" applyProtection="false">
      <alignment horizontal="general" vertical="top" textRotation="0" wrapText="false" indent="0" shrinkToFit="false"/>
      <protection locked="true" hidden="false"/>
    </xf>
    <xf numFmtId="164" fontId="12" fillId="6" borderId="2" xfId="0" applyFont="true" applyBorder="true" applyAlignment="true" applyProtection="false">
      <alignment horizontal="general" vertical="top" textRotation="0" wrapText="true" indent="0" shrinkToFit="false"/>
      <protection locked="true" hidden="false"/>
    </xf>
    <xf numFmtId="167" fontId="11" fillId="0" borderId="2" xfId="0" applyFont="true" applyBorder="true" applyAlignment="true" applyProtection="false">
      <alignment horizontal="general" vertical="top" textRotation="0" wrapText="false" indent="0" shrinkToFit="false"/>
      <protection locked="true" hidden="false"/>
    </xf>
    <xf numFmtId="164" fontId="12" fillId="0" borderId="3" xfId="0" applyFont="true" applyBorder="true" applyAlignment="true" applyProtection="false">
      <alignment horizontal="general" vertical="top" textRotation="0" wrapText="false" indent="0" shrinkToFit="false"/>
      <protection locked="true" hidden="false"/>
    </xf>
    <xf numFmtId="171" fontId="16" fillId="0" borderId="3" xfId="0" applyFont="true" applyBorder="true" applyAlignment="true" applyProtection="false">
      <alignment horizontal="general" vertical="top" textRotation="0" wrapText="false" indent="0" shrinkToFit="false"/>
      <protection locked="true" hidden="false"/>
    </xf>
    <xf numFmtId="164" fontId="12" fillId="0" borderId="3" xfId="0" applyFont="true" applyBorder="true" applyAlignment="true" applyProtection="false">
      <alignment horizontal="general" vertical="top" textRotation="0" wrapText="true" indent="0" shrinkToFit="false"/>
      <protection locked="true" hidden="false"/>
    </xf>
    <xf numFmtId="169" fontId="16" fillId="0" borderId="2" xfId="0" applyFont="true" applyBorder="true" applyAlignment="true" applyProtection="false">
      <alignment horizontal="general" vertical="top" textRotation="0" wrapText="false" indent="0" shrinkToFit="false"/>
      <protection locked="true" hidden="false"/>
    </xf>
    <xf numFmtId="165" fontId="8" fillId="0" borderId="2" xfId="0" applyFont="true" applyBorder="true" applyAlignment="true" applyProtection="false">
      <alignment horizontal="general" vertical="top" textRotation="0" wrapText="false" indent="0" shrinkToFit="false"/>
      <protection locked="true" hidden="false"/>
    </xf>
    <xf numFmtId="167" fontId="8" fillId="0" borderId="2" xfId="0" applyFont="true" applyBorder="true" applyAlignment="true" applyProtection="false">
      <alignment horizontal="general" vertical="top" textRotation="0" wrapText="false" indent="0" shrinkToFit="false"/>
      <protection locked="true" hidden="false"/>
    </xf>
    <xf numFmtId="170" fontId="12" fillId="0" borderId="2" xfId="0" applyFont="true" applyBorder="true" applyAlignment="true" applyProtection="false">
      <alignment horizontal="general" vertical="top" textRotation="0" wrapText="false" indent="0" shrinkToFit="false"/>
      <protection locked="true" hidden="false"/>
    </xf>
    <xf numFmtId="170" fontId="16" fillId="7" borderId="2" xfId="0" applyFont="true" applyBorder="true" applyAlignment="true" applyProtection="false">
      <alignment horizontal="general" vertical="top" textRotation="0" wrapText="true" indent="0" shrinkToFit="false"/>
      <protection locked="true" hidden="false"/>
    </xf>
    <xf numFmtId="173" fontId="16" fillId="7" borderId="2" xfId="0" applyFont="true" applyBorder="true" applyAlignment="true" applyProtection="false">
      <alignment horizontal="general" vertical="top" textRotation="0" wrapText="true" indent="0" shrinkToFit="false"/>
      <protection locked="true" hidden="false"/>
    </xf>
    <xf numFmtId="169" fontId="16" fillId="0" borderId="3" xfId="0" applyFont="true" applyBorder="true" applyAlignment="true" applyProtection="false">
      <alignment horizontal="general" vertical="top" textRotation="0" wrapText="false" indent="0" shrinkToFit="false"/>
      <protection locked="true" hidden="false"/>
    </xf>
    <xf numFmtId="165" fontId="8" fillId="0" borderId="3" xfId="0" applyFont="true" applyBorder="true" applyAlignment="true" applyProtection="false">
      <alignment horizontal="general" vertical="top" textRotation="0" wrapText="false" indent="0" shrinkToFit="false"/>
      <protection locked="true" hidden="false"/>
    </xf>
    <xf numFmtId="167" fontId="8" fillId="0" borderId="3" xfId="0" applyFont="true" applyBorder="true" applyAlignment="true" applyProtection="false">
      <alignment horizontal="general" vertical="top" textRotation="0" wrapText="false" indent="0" shrinkToFit="false"/>
      <protection locked="true" hidden="false"/>
    </xf>
    <xf numFmtId="170" fontId="12" fillId="0" borderId="3" xfId="0" applyFont="true" applyBorder="true" applyAlignment="true" applyProtection="false">
      <alignment horizontal="general" vertical="top" textRotation="0" wrapText="false" indent="0" shrinkToFit="false"/>
      <protection locked="true" hidden="false"/>
    </xf>
    <xf numFmtId="174" fontId="12" fillId="0" borderId="2" xfId="0" applyFont="true" applyBorder="true" applyAlignment="true" applyProtection="false">
      <alignment horizontal="general" vertical="top" textRotation="0" wrapText="false" indent="0" shrinkToFit="false"/>
      <protection locked="true" hidden="false"/>
    </xf>
    <xf numFmtId="165" fontId="12" fillId="0" borderId="2" xfId="0" applyFont="true" applyBorder="true" applyAlignment="true" applyProtection="false">
      <alignment horizontal="general" vertical="top" textRotation="0" wrapText="false" indent="0" shrinkToFit="false"/>
      <protection locked="true" hidden="false"/>
    </xf>
    <xf numFmtId="166" fontId="8" fillId="0" borderId="2" xfId="0" applyFont="true" applyBorder="true" applyAlignment="true" applyProtection="false">
      <alignment horizontal="general" vertical="top" textRotation="0" wrapText="false" indent="0" shrinkToFit="false"/>
      <protection locked="true" hidden="false"/>
    </xf>
    <xf numFmtId="166" fontId="8" fillId="0" borderId="2" xfId="0" applyFont="true" applyBorder="true" applyAlignment="true" applyProtection="false">
      <alignment horizontal="center" vertical="top" textRotation="0" wrapText="false" indent="0" shrinkToFit="false"/>
      <protection locked="true" hidden="false"/>
    </xf>
    <xf numFmtId="174" fontId="12" fillId="0" borderId="3" xfId="0" applyFont="true" applyBorder="true" applyAlignment="true" applyProtection="false">
      <alignment horizontal="general" vertical="top" textRotation="0" wrapText="false" indent="0" shrinkToFit="false"/>
      <protection locked="true" hidden="false"/>
    </xf>
    <xf numFmtId="165" fontId="12" fillId="0" borderId="3" xfId="0" applyFont="true" applyBorder="true" applyAlignment="true" applyProtection="false">
      <alignment horizontal="general" vertical="top" textRotation="0" wrapText="false" indent="0" shrinkToFit="false"/>
      <protection locked="true" hidden="false"/>
    </xf>
    <xf numFmtId="166" fontId="8" fillId="0" borderId="3" xfId="0" applyFont="true" applyBorder="true" applyAlignment="true" applyProtection="false">
      <alignment horizontal="general" vertical="top" textRotation="0" wrapText="false" indent="0" shrinkToFit="false"/>
      <protection locked="true" hidden="false"/>
    </xf>
    <xf numFmtId="166" fontId="8" fillId="0" borderId="1" xfId="0" applyFont="true" applyBorder="true" applyAlignment="true" applyProtection="false">
      <alignment horizontal="center" vertical="top" textRotation="0" wrapText="false" indent="0" shrinkToFit="false"/>
      <protection locked="true" hidden="false"/>
    </xf>
    <xf numFmtId="166" fontId="12" fillId="0" borderId="2" xfId="0" applyFont="true" applyBorder="true" applyAlignment="true" applyProtection="false">
      <alignment horizontal="general" vertical="top" textRotation="0" wrapText="false" indent="0" shrinkToFit="false"/>
      <protection locked="true" hidden="false"/>
    </xf>
    <xf numFmtId="167" fontId="12" fillId="0" borderId="2" xfId="0" applyFont="true" applyBorder="true" applyAlignment="true" applyProtection="false">
      <alignment horizontal="general" vertical="top" textRotation="0" wrapText="false" indent="0" shrinkToFit="false"/>
      <protection locked="true" hidden="false"/>
    </xf>
    <xf numFmtId="164" fontId="0" fillId="0" borderId="2" xfId="0" applyFont="false" applyBorder="true" applyAlignment="true" applyProtection="false">
      <alignment horizontal="general" vertical="top" textRotation="0" wrapText="false" indent="0" shrinkToFit="false"/>
      <protection locked="true" hidden="false"/>
    </xf>
    <xf numFmtId="164" fontId="9" fillId="0" borderId="2" xfId="0" applyFont="true" applyBorder="true" applyAlignment="true" applyProtection="false">
      <alignment horizontal="general" vertical="top" textRotation="0" wrapText="false" indent="0" shrinkToFit="false"/>
      <protection locked="true" hidden="false"/>
    </xf>
    <xf numFmtId="164" fontId="0" fillId="0" borderId="2"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71" fontId="11" fillId="0" borderId="0" xfId="0" applyFont="true" applyBorder="false" applyAlignment="true" applyProtection="false">
      <alignment horizontal="center" vertical="top" textRotation="0" wrapText="false" indent="0" shrinkToFit="false"/>
      <protection locked="true" hidden="false"/>
    </xf>
    <xf numFmtId="175" fontId="16" fillId="0" borderId="0" xfId="0" applyFont="true" applyBorder="false" applyAlignment="true" applyProtection="false">
      <alignment horizontal="center" vertical="top" textRotation="0" wrapText="false" indent="0" shrinkToFit="false"/>
      <protection locked="true" hidden="false"/>
    </xf>
    <xf numFmtId="171" fontId="8" fillId="0" borderId="0" xfId="0" applyFont="true" applyBorder="false" applyAlignment="true" applyProtection="false">
      <alignment horizontal="center" vertical="top" textRotation="0" wrapText="false" indent="0" shrinkToFit="false"/>
      <protection locked="true" hidden="false"/>
    </xf>
    <xf numFmtId="176" fontId="11" fillId="0" borderId="0" xfId="0" applyFont="true" applyBorder="false" applyAlignment="true" applyProtection="false">
      <alignment horizontal="center" vertical="top" textRotation="0" wrapText="false" indent="0" shrinkToFit="false"/>
      <protection locked="true" hidden="false"/>
    </xf>
    <xf numFmtId="164" fontId="11" fillId="0" borderId="0" xfId="0" applyFont="true" applyBorder="false" applyAlignment="true" applyProtection="false">
      <alignment horizontal="center" vertical="top"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77" fontId="11" fillId="0" borderId="0" xfId="0" applyFont="true" applyBorder="fals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7">
    <dxf>
      <fill>
        <patternFill>
          <bgColor rgb="FFD9EAD3"/>
        </patternFill>
      </fill>
    </dxf>
    <dxf>
      <fill>
        <patternFill>
          <bgColor rgb="FFFFF2CC"/>
        </patternFill>
      </fill>
    </dxf>
    <dxf>
      <fill>
        <patternFill>
          <bgColor rgb="FFF4CCCC"/>
        </patternFill>
      </fill>
    </dxf>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E4DFEC"/>
          <bgColor rgb="FF000000"/>
        </patternFill>
      </fill>
    </dxf>
    <dxf>
      <fill>
        <patternFill patternType="solid">
          <fgColor rgb="FFEDEDED"/>
          <bgColor rgb="FF000000"/>
        </patternFill>
      </fill>
    </dxf>
    <dxf>
      <fill>
        <patternFill patternType="solid">
          <fgColor rgb="FFF4CCCC"/>
          <bgColor rgb="FF000000"/>
        </patternFill>
      </fill>
    </dxf>
    <dxf>
      <fill>
        <patternFill patternType="solid">
          <fgColor rgb="FFFFF2CC"/>
          <bgColor rgb="FF000000"/>
        </patternFill>
      </fill>
    </dxf>
    <dxf>
      <fill>
        <patternFill>
          <bgColor rgb="FFE4DFEC"/>
        </patternFill>
      </fill>
    </dxf>
    <dxf>
      <fill>
        <patternFill>
          <bgColor rgb="FFEDEDED"/>
        </patternFill>
      </fill>
    </dxf>
    <dxf>
      <fill>
        <patternFill patternType="solid">
          <fgColor rgb="FF008000"/>
          <bgColor rgb="FF000000"/>
        </patternFill>
      </fill>
    </dxf>
    <dxf>
      <fill>
        <patternFill patternType="solid">
          <fgColor rgb="FFD9EAD3"/>
          <bgColor rgb="FF000000"/>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3B3B3"/>
      <rgbColor rgb="FF808080"/>
      <rgbColor rgb="FF9999FF"/>
      <rgbColor rgb="FFC0504D"/>
      <rgbColor rgb="FFFFF2CC"/>
      <rgbColor rgb="FFEDEDED"/>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2F3"/>
      <rgbColor rgb="FFD9EAD3"/>
      <rgbColor rgb="FFE4DFEC"/>
      <rgbColor rgb="FF99CCFF"/>
      <rgbColor rgb="FFFF99CC"/>
      <rgbColor rgb="FFCC99FF"/>
      <rgbColor rgb="FFF4CCCC"/>
      <rgbColor rgb="FF2E75B6"/>
      <rgbColor rgb="FF33CCCC"/>
      <rgbColor rgb="FF70AD47"/>
      <rgbColor rgb="FFFFCC00"/>
      <rgbColor rgb="FFFF9900"/>
      <rgbColor rgb="FFC55A11"/>
      <rgbColor rgb="FF595959"/>
      <rgbColor rgb="FFA6A6A6"/>
      <rgbColor rgb="FF003366"/>
      <rgbColor rgb="FF4F81BD"/>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FY2025 profitability</a:t>
            </a:r>
          </a:p>
        </c:rich>
      </c:tx>
      <c:overlay val="0"/>
      <c:spPr>
        <a:noFill/>
        <a:ln w="0">
          <a:noFill/>
        </a:ln>
      </c:spPr>
    </c:title>
    <c:autoTitleDeleted val="0"/>
    <c:plotArea>
      <c:barChart>
        <c:barDir val="col"/>
        <c:grouping val="clustered"/>
        <c:varyColors val="0"/>
        <c:ser>
          <c:idx val="0"/>
          <c:order val="0"/>
          <c:tx>
            <c:strRef>
              <c:f>Summary!D4</c:f>
              <c:strCache>
                <c:ptCount val="1"/>
                <c:pt idx="0">
                  <c:v>Net margin</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Summary!$A$5:$A$9</c:f>
              <c:strCache>
                <c:ptCount val="5"/>
                <c:pt idx="0">
                  <c:v>WTW</c:v>
                </c:pt>
                <c:pt idx="1">
                  <c:v>Aon</c:v>
                </c:pt>
                <c:pt idx="2">
                  <c:v>MMC</c:v>
                </c:pt>
                <c:pt idx="3">
                  <c:v>AJG</c:v>
                </c:pt>
                <c:pt idx="4">
                  <c:v>BRO</c:v>
                </c:pt>
              </c:strCache>
            </c:strRef>
          </c:cat>
          <c:val>
            <c:numRef>
              <c:f>Summary!$D$5:$D$9</c:f>
              <c:numCache>
                <c:formatCode>0.0%</c:formatCode>
                <c:ptCount val="5"/>
                <c:pt idx="0">
                  <c:v>0.165327564894932</c:v>
                </c:pt>
                <c:pt idx="1">
                  <c:v>0.215063151155346</c:v>
                </c:pt>
                <c:pt idx="2">
                  <c:v>0.154182572921686</c:v>
                </c:pt>
                <c:pt idx="3">
                  <c:v>0.107158226940181</c:v>
                </c:pt>
                <c:pt idx="4">
                  <c:v>0.178583531006439</c:v>
                </c:pt>
              </c:numCache>
            </c:numRef>
          </c:val>
        </c:ser>
        <c:ser>
          <c:idx val="1"/>
          <c:order val="1"/>
          <c:tx>
            <c:strRef>
              <c:f>Summary!E4</c:f>
              <c:strCache>
                <c:ptCount val="1"/>
                <c:pt idx="0">
                  <c:v>FCF margin</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Summary!$A$5:$A$9</c:f>
              <c:strCache>
                <c:ptCount val="5"/>
                <c:pt idx="0">
                  <c:v>WTW</c:v>
                </c:pt>
                <c:pt idx="1">
                  <c:v>Aon</c:v>
                </c:pt>
                <c:pt idx="2">
                  <c:v>MMC</c:v>
                </c:pt>
                <c:pt idx="3">
                  <c:v>AJG</c:v>
                </c:pt>
                <c:pt idx="4">
                  <c:v>BRO</c:v>
                </c:pt>
              </c:strCache>
            </c:strRef>
          </c:cat>
          <c:val>
            <c:numRef>
              <c:f>Summary!$E$5:$E$9</c:f>
              <c:numCache>
                <c:formatCode>0.0%</c:formatCode>
                <c:ptCount val="5"/>
                <c:pt idx="0">
                  <c:v>0.159250103007829</c:v>
                </c:pt>
                <c:pt idx="1">
                  <c:v>0.165880914964205</c:v>
                </c:pt>
                <c:pt idx="2">
                  <c:v>0.170490345057633</c:v>
                </c:pt>
                <c:pt idx="3">
                  <c:v>0.150624013771338</c:v>
                </c:pt>
                <c:pt idx="4">
                  <c:v>0.218569976279227</c:v>
                </c:pt>
              </c:numCache>
            </c:numRef>
          </c:val>
        </c:ser>
        <c:gapWidth val="150"/>
        <c:overlap val="0"/>
        <c:axId val="22233015"/>
        <c:axId val="43323610"/>
      </c:barChart>
      <c:catAx>
        <c:axId val="22233015"/>
        <c:scaling>
          <c:orientation val="minMax"/>
        </c:scaling>
        <c:delete val="0"/>
        <c:axPos val="b"/>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3323610"/>
        <c:crosses val="autoZero"/>
        <c:auto val="1"/>
        <c:lblAlgn val="ctr"/>
        <c:lblOffset val="100"/>
        <c:noMultiLvlLbl val="0"/>
      </c:catAx>
      <c:valAx>
        <c:axId val="43323610"/>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of revenue</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223301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Interest coverage: FY2025 vs severe stress</a:t>
            </a:r>
          </a:p>
        </c:rich>
      </c:tx>
      <c:overlay val="0"/>
      <c:spPr>
        <a:noFill/>
        <a:ln w="0">
          <a:noFill/>
        </a:ln>
      </c:spPr>
    </c:title>
    <c:autoTitleDeleted val="0"/>
    <c:plotArea>
      <c:barChart>
        <c:barDir val="col"/>
        <c:grouping val="clustered"/>
        <c:varyColors val="0"/>
        <c:ser>
          <c:idx val="0"/>
          <c:order val="0"/>
          <c:tx>
            <c:strRef>
              <c:f>Summary!G4</c:f>
              <c:strCache>
                <c:ptCount val="1"/>
                <c:pt idx="0">
                  <c:v>Interest coverage FY2025 (x)</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Summary!$A$5:$A$9</c:f>
              <c:strCache>
                <c:ptCount val="5"/>
                <c:pt idx="0">
                  <c:v>WTW</c:v>
                </c:pt>
                <c:pt idx="1">
                  <c:v>Aon</c:v>
                </c:pt>
                <c:pt idx="2">
                  <c:v>MMC</c:v>
                </c:pt>
                <c:pt idx="3">
                  <c:v>AJG</c:v>
                </c:pt>
                <c:pt idx="4">
                  <c:v>BRO</c:v>
                </c:pt>
              </c:strCache>
            </c:strRef>
          </c:cat>
          <c:val>
            <c:numRef>
              <c:f>Summary!$G$5:$G$9</c:f>
              <c:numCache>
                <c:formatCode>0.00\x</c:formatCode>
                <c:ptCount val="5"/>
                <c:pt idx="0">
                  <c:v>8.59230769230769</c:v>
                </c:pt>
                <c:pt idx="1">
                  <c:v>5.33006134969325</c:v>
                </c:pt>
                <c:pt idx="2">
                  <c:v>6.48229166666667</c:v>
                </c:pt>
                <c:pt idx="3">
                  <c:v>3.92801251956181</c:v>
                </c:pt>
                <c:pt idx="4">
                  <c:v>5.61616161616162</c:v>
                </c:pt>
              </c:numCache>
            </c:numRef>
          </c:val>
        </c:ser>
        <c:ser>
          <c:idx val="1"/>
          <c:order val="1"/>
          <c:tx>
            <c:strRef>
              <c:f>Summary!H4</c:f>
              <c:strCache>
                <c:ptCount val="1"/>
                <c:pt idx="0">
                  <c:v>Severe-stress coverage (x)</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Summary!$A$5:$A$9</c:f>
              <c:strCache>
                <c:ptCount val="5"/>
                <c:pt idx="0">
                  <c:v>WTW</c:v>
                </c:pt>
                <c:pt idx="1">
                  <c:v>Aon</c:v>
                </c:pt>
                <c:pt idx="2">
                  <c:v>MMC</c:v>
                </c:pt>
                <c:pt idx="3">
                  <c:v>AJG</c:v>
                </c:pt>
                <c:pt idx="4">
                  <c:v>BRO</c:v>
                </c:pt>
              </c:strCache>
            </c:strRef>
          </c:cat>
          <c:val>
            <c:numRef>
              <c:f>Summary!$H$5:$H$9</c:f>
              <c:numCache>
                <c:formatCode>0.00\x</c:formatCode>
                <c:ptCount val="5"/>
                <c:pt idx="0">
                  <c:v>6.44423076923077</c:v>
                </c:pt>
                <c:pt idx="1">
                  <c:v>3.99754601226994</c:v>
                </c:pt>
                <c:pt idx="2">
                  <c:v>4.86171875</c:v>
                </c:pt>
                <c:pt idx="3">
                  <c:v>2.94600938967136</c:v>
                </c:pt>
                <c:pt idx="4">
                  <c:v>4.21212121212121</c:v>
                </c:pt>
              </c:numCache>
            </c:numRef>
          </c:val>
        </c:ser>
        <c:gapWidth val="150"/>
        <c:overlap val="0"/>
        <c:axId val="66561340"/>
        <c:axId val="8032853"/>
      </c:barChart>
      <c:catAx>
        <c:axId val="66561340"/>
        <c:scaling>
          <c:orientation val="minMax"/>
        </c:scaling>
        <c:delete val="0"/>
        <c:axPos val="b"/>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032853"/>
        <c:crosses val="autoZero"/>
        <c:auto val="1"/>
        <c:lblAlgn val="ctr"/>
        <c:lblOffset val="100"/>
        <c:noMultiLvlLbl val="0"/>
      </c:catAx>
      <c:valAx>
        <c:axId val="8032853"/>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EBIT / interest (x)</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656134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26</xdr:row>
      <xdr:rowOff>131040</xdr:rowOff>
    </xdr:from>
    <xdr:to>
      <xdr:col>3</xdr:col>
      <xdr:colOff>888480</xdr:colOff>
      <xdr:row>40</xdr:row>
      <xdr:rowOff>163440</xdr:rowOff>
    </xdr:to>
    <xdr:graphicFrame>
      <xdr:nvGraphicFramePr>
        <xdr:cNvPr id="0" name="Chart 1"/>
        <xdr:cNvGraphicFramePr/>
      </xdr:nvGraphicFramePr>
      <xdr:xfrm>
        <a:off x="0" y="556272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26</xdr:row>
      <xdr:rowOff>131040</xdr:rowOff>
    </xdr:from>
    <xdr:to>
      <xdr:col>9</xdr:col>
      <xdr:colOff>324720</xdr:colOff>
      <xdr:row>40</xdr:row>
      <xdr:rowOff>163440</xdr:rowOff>
    </xdr:to>
    <xdr:graphicFrame>
      <xdr:nvGraphicFramePr>
        <xdr:cNvPr id="1" name="Chart 2"/>
        <xdr:cNvGraphicFramePr/>
      </xdr:nvGraphicFramePr>
      <xdr:xfrm>
        <a:off x="6484680" y="5562720"/>
        <a:ext cx="539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true"/>
  </sheetPr>
  <dimension ref="A1:K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3" min="3" style="0" width="16"/>
    <col collapsed="false" customWidth="true" hidden="false" outlineLevel="0" max="6" min="4" style="0" width="14"/>
    <col collapsed="false" customWidth="true" hidden="false" outlineLevel="0" max="8" min="7" style="0" width="18"/>
    <col collapsed="false" customWidth="true" hidden="false" outlineLevel="0" max="9" min="9" style="0" width="22"/>
    <col collapsed="false" customWidth="true" hidden="false" outlineLevel="0" max="10" min="10" style="0" width="16"/>
    <col collapsed="false" customWidth="true" hidden="false" outlineLevel="0" max="11" min="11" style="0" width="22"/>
  </cols>
  <sheetData>
    <row r="1" customFormat="false" ht="19.7" hidden="false" customHeight="false" outlineLevel="0" collapsed="false">
      <c r="A1" s="1" t="s">
        <v>0</v>
      </c>
    </row>
    <row r="2" customFormat="false" ht="15" hidden="false" customHeight="false" outlineLevel="0" collapsed="false">
      <c r="A2" s="2" t="s">
        <v>1</v>
      </c>
    </row>
    <row r="4" customFormat="false" ht="31.5" hidden="false" customHeight="true" outlineLevel="0" collapsed="false">
      <c r="A4" s="3" t="s">
        <v>2</v>
      </c>
      <c r="B4" s="4" t="s">
        <v>3</v>
      </c>
      <c r="C4" s="4" t="s">
        <v>4</v>
      </c>
      <c r="D4" s="4" t="s">
        <v>5</v>
      </c>
      <c r="E4" s="4" t="s">
        <v>6</v>
      </c>
      <c r="F4" s="4" t="s">
        <v>7</v>
      </c>
      <c r="G4" s="4" t="s">
        <v>8</v>
      </c>
      <c r="H4" s="4" t="s">
        <v>9</v>
      </c>
      <c r="I4" s="4" t="s">
        <v>10</v>
      </c>
      <c r="J4" s="4" t="s">
        <v>11</v>
      </c>
    </row>
    <row r="5" customFormat="false" ht="15" hidden="false" customHeight="false" outlineLevel="0" collapsed="false">
      <c r="A5" s="5" t="str">
        <f aca="false">Peer_Comparison!A2</f>
        <v>WTW</v>
      </c>
      <c r="B5" s="6" t="n">
        <f aca="false">Peer_Comparison!B2</f>
        <v>9.708</v>
      </c>
      <c r="C5" s="6" t="n">
        <f aca="false">Peer_Comparison!C2</f>
        <v>2.234</v>
      </c>
      <c r="D5" s="7" t="n">
        <f aca="false">Peer_Comparison!E2</f>
        <v>0.165327564894932</v>
      </c>
      <c r="E5" s="7" t="n">
        <f aca="false">Peer_Comparison!J2</f>
        <v>0.159250103007829</v>
      </c>
      <c r="F5" s="8" t="n">
        <f aca="false">Peer_Comparison!F2</f>
        <v>1.20494144530134</v>
      </c>
      <c r="G5" s="8" t="n">
        <f aca="false">Financial_Ratios!D6</f>
        <v>8.59230769230769</v>
      </c>
      <c r="H5" s="8" t="n">
        <f aca="false">Peer_Comparison!N2</f>
        <v>6.44423076923077</v>
      </c>
      <c r="I5" s="9" t="str">
        <f aca="false">Stress_Test_Matrix!G4</f>
        <v>Illustrative buffer</v>
      </c>
      <c r="J5" s="9" t="str">
        <f aca="false">IF(ISNUMBER(SEARCH("proxy",Peer_Comparison!K2)),"Derived proxy","Reported")</f>
        <v>Reported</v>
      </c>
    </row>
    <row r="6" customFormat="false" ht="15" hidden="false" customHeight="false" outlineLevel="0" collapsed="false">
      <c r="A6" s="5" t="str">
        <f aca="false">Peer_Comparison!A3</f>
        <v>Aon</v>
      </c>
      <c r="B6" s="6" t="n">
        <f aca="false">Peer_Comparison!B3</f>
        <v>17.181</v>
      </c>
      <c r="C6" s="6" t="n">
        <f aca="false">Peer_Comparison!C3</f>
        <v>4.344</v>
      </c>
      <c r="D6" s="7" t="n">
        <f aca="false">Peer_Comparison!E3</f>
        <v>0.215063151155346</v>
      </c>
      <c r="E6" s="7" t="n">
        <f aca="false">Peer_Comparison!J3</f>
        <v>0.165880914964205</v>
      </c>
      <c r="F6" s="8" t="n">
        <f aca="false">Peer_Comparison!F3</f>
        <v>0.952662721893491</v>
      </c>
      <c r="G6" s="8" t="n">
        <f aca="false">Financial_Ratios!D12</f>
        <v>5.33006134969325</v>
      </c>
      <c r="H6" s="8" t="n">
        <f aca="false">Peer_Comparison!N3</f>
        <v>3.99754601226994</v>
      </c>
      <c r="I6" s="9" t="str">
        <f aca="false">Stress_Test_Matrix!G8</f>
        <v>Pressure</v>
      </c>
      <c r="J6" s="9" t="str">
        <f aca="false">IF(ISNUMBER(SEARCH("proxy",Peer_Comparison!K3)),"Derived proxy","Reported")</f>
        <v>Reported</v>
      </c>
    </row>
    <row r="7" customFormat="false" ht="15" hidden="false" customHeight="false" outlineLevel="0" collapsed="false">
      <c r="A7" s="5" t="str">
        <f aca="false">Peer_Comparison!A4</f>
        <v>MMC</v>
      </c>
      <c r="B7" s="6" t="n">
        <f aca="false">Peer_Comparison!B4</f>
        <v>26.981</v>
      </c>
      <c r="C7" s="6" t="n">
        <f aca="false">Peer_Comparison!C4</f>
        <v>6.223</v>
      </c>
      <c r="D7" s="7" t="n">
        <f aca="false">Peer_Comparison!E4</f>
        <v>0.154182572921686</v>
      </c>
      <c r="E7" s="7" t="n">
        <f aca="false">Peer_Comparison!J4</f>
        <v>0.170490345057633</v>
      </c>
      <c r="F7" s="8" t="n">
        <f aca="false">Peer_Comparison!F4</f>
        <v>1.19047619047619</v>
      </c>
      <c r="G7" s="8" t="n">
        <f aca="false">Financial_Ratios!D18</f>
        <v>6.48229166666667</v>
      </c>
      <c r="H7" s="8" t="n">
        <f aca="false">Peer_Comparison!N4</f>
        <v>4.86171875</v>
      </c>
      <c r="I7" s="9" t="str">
        <f aca="false">Stress_Test_Matrix!G12</f>
        <v>Pressure</v>
      </c>
      <c r="J7" s="9" t="str">
        <f aca="false">IF(ISNUMBER(SEARCH("proxy",Peer_Comparison!K4)),"Derived proxy","Reported")</f>
        <v>Reported</v>
      </c>
    </row>
    <row r="8" customFormat="false" ht="15" hidden="false" customHeight="false" outlineLevel="0" collapsed="false">
      <c r="A8" s="5" t="str">
        <f aca="false">Peer_Comparison!A5</f>
        <v>AJG</v>
      </c>
      <c r="B8" s="6" t="n">
        <f aca="false">Peer_Comparison!B5</f>
        <v>13.942</v>
      </c>
      <c r="C8" s="6" t="n">
        <f aca="false">Peer_Comparison!C5</f>
        <v>2.51</v>
      </c>
      <c r="D8" s="7" t="n">
        <f aca="false">Peer_Comparison!E5</f>
        <v>0.107158226940181</v>
      </c>
      <c r="E8" s="7" t="n">
        <f aca="false">Peer_Comparison!J5</f>
        <v>0.150624013771338</v>
      </c>
      <c r="F8" s="8" t="n">
        <f aca="false">Peer_Comparison!F5</f>
        <v>1.25</v>
      </c>
      <c r="G8" s="8" t="n">
        <f aca="false">Financial_Ratios!D24</f>
        <v>3.92801251956181</v>
      </c>
      <c r="H8" s="8" t="n">
        <f aca="false">Peer_Comparison!N5</f>
        <v>2.94600938967136</v>
      </c>
      <c r="I8" s="9" t="str">
        <f aca="false">Stress_Test_Matrix!G16</f>
        <v>Pressure</v>
      </c>
      <c r="J8" s="9" t="str">
        <f aca="false">IF(ISNUMBER(SEARCH("proxy",Peer_Comparison!K5)),"Derived proxy","Reported")</f>
        <v>Derived proxy</v>
      </c>
    </row>
    <row r="9" customFormat="false" ht="15" hidden="false" customHeight="false" outlineLevel="0" collapsed="false">
      <c r="A9" s="5" t="str">
        <f aca="false">Peer_Comparison!A6</f>
        <v>BRO</v>
      </c>
      <c r="B9" s="6" t="n">
        <f aca="false">Peer_Comparison!B6</f>
        <v>5.902</v>
      </c>
      <c r="C9" s="6" t="n">
        <f aca="false">Peer_Comparison!C6</f>
        <v>1.668</v>
      </c>
      <c r="D9" s="7" t="n">
        <f aca="false">Peer_Comparison!E6</f>
        <v>0.178583531006439</v>
      </c>
      <c r="E9" s="7" t="n">
        <f aca="false">Peer_Comparison!J6</f>
        <v>0.218569976279227</v>
      </c>
      <c r="F9" s="8" t="n">
        <f aca="false">Peer_Comparison!F6</f>
        <v>1.41269841269841</v>
      </c>
      <c r="G9" s="8" t="n">
        <f aca="false">Financial_Ratios!D30</f>
        <v>5.61616161616162</v>
      </c>
      <c r="H9" s="8" t="n">
        <f aca="false">Peer_Comparison!N6</f>
        <v>4.21212121212121</v>
      </c>
      <c r="I9" s="9" t="str">
        <f aca="false">Stress_Test_Matrix!G20</f>
        <v>Pressure</v>
      </c>
      <c r="J9" s="9" t="str">
        <f aca="false">IF(ISNUMBER(SEARCH("proxy",Peer_Comparison!K6)),"Derived proxy","Reported")</f>
        <v>Derived proxy</v>
      </c>
    </row>
    <row r="10" customFormat="false" ht="15" hidden="false" customHeight="false" outlineLevel="0" collapsed="false">
      <c r="A10" s="10" t="s">
        <v>12</v>
      </c>
      <c r="B10" s="11" t="n">
        <f aca="false">MEDIAN(B5:B9)</f>
        <v>13.942</v>
      </c>
      <c r="C10" s="11" t="n">
        <f aca="false">MEDIAN(C5:C9)</f>
        <v>2.51</v>
      </c>
      <c r="D10" s="12" t="n">
        <f aca="false">MEDIAN(D5:D9)</f>
        <v>0.165327564894932</v>
      </c>
      <c r="E10" s="12" t="n">
        <f aca="false">MEDIAN(E5:E9)</f>
        <v>0.165880914964205</v>
      </c>
      <c r="F10" s="13" t="n">
        <f aca="false">MEDIAN(F5:F9)</f>
        <v>1.20494144530134</v>
      </c>
      <c r="G10" s="13" t="n">
        <f aca="false">MEDIAN(G5:G9)</f>
        <v>5.61616161616162</v>
      </c>
      <c r="H10" s="13" t="n">
        <f aca="false">MEDIAN(H5:H9)</f>
        <v>4.21212121212121</v>
      </c>
      <c r="I10" s="14"/>
      <c r="J10" s="14"/>
    </row>
    <row r="11" customFormat="false" ht="15" hidden="false" customHeight="false" outlineLevel="0" collapsed="false">
      <c r="A11" s="2" t="s">
        <v>13</v>
      </c>
    </row>
    <row r="13" customFormat="false" ht="15" hidden="false" customHeight="false" outlineLevel="0" collapsed="false">
      <c r="A13" s="15" t="s">
        <v>14</v>
      </c>
      <c r="H13" s="15" t="s">
        <v>15</v>
      </c>
    </row>
    <row r="14" customFormat="false" ht="31.5" hidden="false" customHeight="true" outlineLevel="0" collapsed="false">
      <c r="A14" s="3" t="s">
        <v>2</v>
      </c>
      <c r="B14" s="4" t="s">
        <v>16</v>
      </c>
      <c r="C14" s="4" t="s">
        <v>17</v>
      </c>
      <c r="D14" s="4" t="s">
        <v>18</v>
      </c>
      <c r="E14" s="4" t="s">
        <v>19</v>
      </c>
      <c r="F14" s="4" t="s">
        <v>20</v>
      </c>
      <c r="H14" s="3" t="s">
        <v>2</v>
      </c>
      <c r="I14" s="4" t="s">
        <v>21</v>
      </c>
      <c r="J14" s="4" t="s">
        <v>22</v>
      </c>
      <c r="K14" s="4" t="s">
        <v>23</v>
      </c>
    </row>
    <row r="15" customFormat="false" ht="15" hidden="false" customHeight="false" outlineLevel="0" collapsed="false">
      <c r="A15" s="16" t="str">
        <f aca="false">A5</f>
        <v>WTW</v>
      </c>
      <c r="B15" s="17" t="n">
        <f aca="false">COUNTIFS(Financial_Metrics!$A$2:$A$71,$A15,Financial_Metrics!$J$2:$J$71,"Needs review*")</f>
        <v>0</v>
      </c>
      <c r="C15" s="9" t="n">
        <f aca="false">COUNTIFS(Financial_Metrics!$A$2:$A$71,$A15,Financial_Metrics!$J$2:$J$71,"Partially verified*")</f>
        <v>9</v>
      </c>
      <c r="D15" s="9" t="n">
        <f aca="false">COUNTIFS(Financial_Metrics!$A$2:$A$71,$A15,Financial_Metrics!$J$2:$J$71,"Derived proxy*")</f>
        <v>0</v>
      </c>
      <c r="E15" s="9" t="n">
        <f aca="false">COUNTIFS(Financial_Metrics!$A$2:$A$71,$A15,Financial_Metrics!$J$2:$J$71,"Calculated*")</f>
        <v>5</v>
      </c>
      <c r="F15" s="18" t="n">
        <f aca="false">SUM(B15:E15)</f>
        <v>14</v>
      </c>
      <c r="H15" s="16" t="str">
        <f aca="false">A5</f>
        <v>WTW</v>
      </c>
      <c r="I15" s="9" t="n">
        <f aca="false">COUNTIFS(Source_Verification!$A$5:$A$51,$H15,Source_Verification!$K$5:$K$51,"Verified*")+COUNTIFS(Source_Verification!$A$5:$A$51,$H15,Source_Verification!$K$5:$K$51,"Corrected*")</f>
        <v>24</v>
      </c>
      <c r="J15" s="17" t="n">
        <f aca="false">COUNTIFS(Source_Verification!$A$5:$A$51,$H15,Source_Verification!$K$5:$K$51,"Corrected*")</f>
        <v>10</v>
      </c>
      <c r="K15" s="17" t="n">
        <f aca="false">COUNTIFS(Source_Verification!$A$5:$A$51,$H15,Source_Verification!$K$5:$K$51,"Discrepancy*")</f>
        <v>19</v>
      </c>
    </row>
    <row r="16" customFormat="false" ht="15" hidden="false" customHeight="false" outlineLevel="0" collapsed="false">
      <c r="A16" s="16" t="str">
        <f aca="false">A6</f>
        <v>Aon</v>
      </c>
      <c r="B16" s="17" t="n">
        <f aca="false">COUNTIFS(Financial_Metrics!$A$2:$A$71,$A16,Financial_Metrics!$J$2:$J$71,"Needs review*")</f>
        <v>5</v>
      </c>
      <c r="C16" s="9" t="n">
        <f aca="false">COUNTIFS(Financial_Metrics!$A$2:$A$71,$A16,Financial_Metrics!$J$2:$J$71,"Partially verified*")</f>
        <v>4</v>
      </c>
      <c r="D16" s="9" t="n">
        <f aca="false">COUNTIFS(Financial_Metrics!$A$2:$A$71,$A16,Financial_Metrics!$J$2:$J$71,"Derived proxy*")</f>
        <v>0</v>
      </c>
      <c r="E16" s="9" t="n">
        <f aca="false">COUNTIFS(Financial_Metrics!$A$2:$A$71,$A16,Financial_Metrics!$J$2:$J$71,"Calculated*")</f>
        <v>5</v>
      </c>
      <c r="F16" s="18" t="n">
        <f aca="false">SUM(B16:E16)</f>
        <v>14</v>
      </c>
      <c r="H16" s="16" t="str">
        <f aca="false">A6</f>
        <v>Aon</v>
      </c>
      <c r="I16" s="9" t="n">
        <f aca="false">COUNTIFS(Source_Verification!$A$5:$A$51,$H16,Source_Verification!$K$5:$K$51,"Verified*")+COUNTIFS(Source_Verification!$A$5:$A$51,$H16,Source_Verification!$K$5:$K$51,"Corrected*")</f>
        <v>0</v>
      </c>
      <c r="J16" s="17" t="n">
        <f aca="false">COUNTIFS(Source_Verification!$A$5:$A$51,$H16,Source_Verification!$K$5:$K$51,"Corrected*")</f>
        <v>0</v>
      </c>
      <c r="K16" s="17" t="n">
        <f aca="false">COUNTIFS(Source_Verification!$A$5:$A$51,$H16,Source_Verification!$K$5:$K$51,"Discrepancy*")</f>
        <v>0</v>
      </c>
    </row>
    <row r="17" customFormat="false" ht="15" hidden="false" customHeight="false" outlineLevel="0" collapsed="false">
      <c r="A17" s="16" t="str">
        <f aca="false">A7</f>
        <v>MMC</v>
      </c>
      <c r="B17" s="17" t="n">
        <f aca="false">COUNTIFS(Financial_Metrics!$A$2:$A$71,$A17,Financial_Metrics!$J$2:$J$71,"Needs review*")</f>
        <v>5</v>
      </c>
      <c r="C17" s="9" t="n">
        <f aca="false">COUNTIFS(Financial_Metrics!$A$2:$A$71,$A17,Financial_Metrics!$J$2:$J$71,"Partially verified*")</f>
        <v>4</v>
      </c>
      <c r="D17" s="9" t="n">
        <f aca="false">COUNTIFS(Financial_Metrics!$A$2:$A$71,$A17,Financial_Metrics!$J$2:$J$71,"Derived proxy*")</f>
        <v>0</v>
      </c>
      <c r="E17" s="9" t="n">
        <f aca="false">COUNTIFS(Financial_Metrics!$A$2:$A$71,$A17,Financial_Metrics!$J$2:$J$71,"Calculated*")</f>
        <v>5</v>
      </c>
      <c r="F17" s="18" t="n">
        <f aca="false">SUM(B17:E17)</f>
        <v>14</v>
      </c>
      <c r="H17" s="16" t="str">
        <f aca="false">A7</f>
        <v>MMC</v>
      </c>
      <c r="I17" s="9" t="n">
        <f aca="false">COUNTIFS(Source_Verification!$A$5:$A$51,$H17,Source_Verification!$K$5:$K$51,"Verified*")+COUNTIFS(Source_Verification!$A$5:$A$51,$H17,Source_Verification!$K$5:$K$51,"Corrected*")</f>
        <v>0</v>
      </c>
      <c r="J17" s="17" t="n">
        <f aca="false">COUNTIFS(Source_Verification!$A$5:$A$51,$H17,Source_Verification!$K$5:$K$51,"Corrected*")</f>
        <v>0</v>
      </c>
      <c r="K17" s="17" t="n">
        <f aca="false">COUNTIFS(Source_Verification!$A$5:$A$51,$H17,Source_Verification!$K$5:$K$51,"Discrepancy*")</f>
        <v>0</v>
      </c>
    </row>
    <row r="18" customFormat="false" ht="15" hidden="false" customHeight="false" outlineLevel="0" collapsed="false">
      <c r="A18" s="16" t="str">
        <f aca="false">A8</f>
        <v>AJG</v>
      </c>
      <c r="B18" s="17" t="n">
        <f aca="false">COUNTIFS(Financial_Metrics!$A$2:$A$71,$A18,Financial_Metrics!$J$2:$J$71,"Needs review*")</f>
        <v>5</v>
      </c>
      <c r="C18" s="9" t="n">
        <f aca="false">COUNTIFS(Financial_Metrics!$A$2:$A$71,$A18,Financial_Metrics!$J$2:$J$71,"Partially verified*")</f>
        <v>3</v>
      </c>
      <c r="D18" s="9" t="n">
        <f aca="false">COUNTIFS(Financial_Metrics!$A$2:$A$71,$A18,Financial_Metrics!$J$2:$J$71,"Derived proxy*")</f>
        <v>1</v>
      </c>
      <c r="E18" s="9" t="n">
        <f aca="false">COUNTIFS(Financial_Metrics!$A$2:$A$71,$A18,Financial_Metrics!$J$2:$J$71,"Calculated*")</f>
        <v>5</v>
      </c>
      <c r="F18" s="18" t="n">
        <f aca="false">SUM(B18:E18)</f>
        <v>14</v>
      </c>
      <c r="H18" s="16" t="str">
        <f aca="false">A8</f>
        <v>AJG</v>
      </c>
      <c r="I18" s="9" t="n">
        <f aca="false">COUNTIFS(Source_Verification!$A$5:$A$51,$H18,Source_Verification!$K$5:$K$51,"Verified*")+COUNTIFS(Source_Verification!$A$5:$A$51,$H18,Source_Verification!$K$5:$K$51,"Corrected*")</f>
        <v>0</v>
      </c>
      <c r="J18" s="17" t="n">
        <f aca="false">COUNTIFS(Source_Verification!$A$5:$A$51,$H18,Source_Verification!$K$5:$K$51,"Corrected*")</f>
        <v>0</v>
      </c>
      <c r="K18" s="17" t="n">
        <f aca="false">COUNTIFS(Source_Verification!$A$5:$A$51,$H18,Source_Verification!$K$5:$K$51,"Discrepancy*")</f>
        <v>0</v>
      </c>
    </row>
    <row r="19" customFormat="false" ht="15" hidden="false" customHeight="false" outlineLevel="0" collapsed="false">
      <c r="A19" s="16" t="str">
        <f aca="false">A9</f>
        <v>BRO</v>
      </c>
      <c r="B19" s="17" t="n">
        <f aca="false">COUNTIFS(Financial_Metrics!$A$2:$A$71,$A19,Financial_Metrics!$J$2:$J$71,"Needs review*")</f>
        <v>5</v>
      </c>
      <c r="C19" s="9" t="n">
        <f aca="false">COUNTIFS(Financial_Metrics!$A$2:$A$71,$A19,Financial_Metrics!$J$2:$J$71,"Partially verified*")</f>
        <v>3</v>
      </c>
      <c r="D19" s="9" t="n">
        <f aca="false">COUNTIFS(Financial_Metrics!$A$2:$A$71,$A19,Financial_Metrics!$J$2:$J$71,"Derived proxy*")</f>
        <v>1</v>
      </c>
      <c r="E19" s="9" t="n">
        <f aca="false">COUNTIFS(Financial_Metrics!$A$2:$A$71,$A19,Financial_Metrics!$J$2:$J$71,"Calculated*")</f>
        <v>5</v>
      </c>
      <c r="F19" s="18" t="n">
        <f aca="false">SUM(B19:E19)</f>
        <v>14</v>
      </c>
      <c r="H19" s="16" t="str">
        <f aca="false">A9</f>
        <v>BRO</v>
      </c>
      <c r="I19" s="9" t="n">
        <f aca="false">COUNTIFS(Source_Verification!$A$5:$A$51,$H19,Source_Verification!$K$5:$K$51,"Verified*")+COUNTIFS(Source_Verification!$A$5:$A$51,$H19,Source_Verification!$K$5:$K$51,"Corrected*")</f>
        <v>0</v>
      </c>
      <c r="J19" s="17" t="n">
        <f aca="false">COUNTIFS(Source_Verification!$A$5:$A$51,$H19,Source_Verification!$K$5:$K$51,"Corrected*")</f>
        <v>0</v>
      </c>
      <c r="K19" s="17" t="n">
        <f aca="false">COUNTIFS(Source_Verification!$A$5:$A$51,$H19,Source_Verification!$K$5:$K$51,"Discrepancy*")</f>
        <v>0</v>
      </c>
    </row>
    <row r="20" customFormat="false" ht="15" hidden="false" customHeight="false" outlineLevel="0" collapsed="false">
      <c r="A20" s="10" t="s">
        <v>24</v>
      </c>
      <c r="B20" s="19" t="n">
        <f aca="false">SUM(B15:B19)</f>
        <v>20</v>
      </c>
      <c r="C20" s="19" t="n">
        <f aca="false">SUM(C15:C19)</f>
        <v>23</v>
      </c>
      <c r="D20" s="19" t="n">
        <f aca="false">SUM(D15:D19)</f>
        <v>2</v>
      </c>
      <c r="E20" s="19" t="n">
        <f aca="false">SUM(E15:E19)</f>
        <v>25</v>
      </c>
      <c r="F20" s="19" t="n">
        <f aca="false">SUM(F15:F19)</f>
        <v>70</v>
      </c>
      <c r="H20" s="10" t="s">
        <v>24</v>
      </c>
      <c r="I20" s="19" t="n">
        <f aca="false">SUM(I15:I19)</f>
        <v>24</v>
      </c>
      <c r="J20" s="19" t="n">
        <f aca="false">SUM(J15:J19)</f>
        <v>10</v>
      </c>
      <c r="K20" s="19" t="n">
        <f aca="false">SUM(K15:K19)</f>
        <v>19</v>
      </c>
    </row>
    <row r="21" customFormat="false" ht="15" hidden="false" customHeight="false" outlineLevel="0" collapsed="false">
      <c r="A21" s="20" t="s">
        <v>25</v>
      </c>
      <c r="B21" s="21" t="n">
        <f aca="false">IFERROR(B20/SUM(B20:D20),"")</f>
        <v>0.444444444444444</v>
      </c>
      <c r="C21" s="2" t="s">
        <v>26</v>
      </c>
      <c r="H21" s="2" t="s">
        <v>27</v>
      </c>
    </row>
    <row r="23" customFormat="false" ht="15" hidden="false" customHeight="false" outlineLevel="0" collapsed="false">
      <c r="A23" s="15" t="s">
        <v>28</v>
      </c>
    </row>
    <row r="24" customFormat="false" ht="15" hidden="false" customHeight="false" outlineLevel="0" collapsed="false">
      <c r="A24" s="20" t="s">
        <v>29</v>
      </c>
      <c r="B24" s="9" t="n">
        <f aca="false">COUNTA(Review_Flags!$A$2:$A$20)</f>
        <v>19</v>
      </c>
    </row>
    <row r="25" customFormat="false" ht="15" hidden="false" customHeight="false" outlineLevel="0" collapsed="false">
      <c r="A25" s="20" t="s">
        <v>30</v>
      </c>
      <c r="B25" s="9" t="n">
        <f aca="false">COUNTIF(Review_Flags!$F$2:$F$20,"Open")</f>
        <v>11</v>
      </c>
    </row>
    <row r="26" customFormat="false" ht="15" hidden="false" customHeight="false" outlineLevel="0" collapsed="false">
      <c r="A26" s="20" t="s">
        <v>31</v>
      </c>
      <c r="B26" s="9" t="n">
        <f aca="false">COUNTIFS(Review_Flags!$A$2:$A$20,"High",Review_Flags!$F$2:$F$20,"Open")</f>
        <v>8</v>
      </c>
    </row>
  </sheetData>
  <conditionalFormatting sqref="I5:I9">
    <cfRule type="cellIs" priority="2" operator="equal" aboveAverage="0" equalAverage="0" bottom="0" percent="0" rank="0" text="" dxfId="0">
      <formula>"Illustrative buffer"</formula>
    </cfRule>
    <cfRule type="cellIs" priority="3" operator="equal" aboveAverage="0" equalAverage="0" bottom="0" percent="0" rank="0" text="" dxfId="1">
      <formula>"Pressure"</formula>
    </cfRule>
    <cfRule type="cellIs" priority="4" operator="equal" aboveAverage="0" equalAverage="0" bottom="0" percent="0" rank="0" text="" dxfId="2">
      <formula>"High pressure"</formula>
    </cfRule>
  </conditionalFormatting>
  <conditionalFormatting sqref="B15:B19">
    <cfRule type="cellIs" priority="5" operator="greaterThan" aboveAverage="0" equalAverage="0" bottom="0" percent="0" rank="0" text="" dxfId="2">
      <formula>0</formula>
    </cfRule>
  </conditionalFormatting>
  <conditionalFormatting sqref="K15:K19">
    <cfRule type="cellIs" priority="6" operator="greaterThan" aboveAverage="0" equalAverage="0" bottom="0" percent="0" rank="0" text="" dxfId="2">
      <formula>0</formula>
    </cfRule>
  </conditionalFormatting>
  <conditionalFormatting sqref="J15:J19">
    <cfRule type="cellIs" priority="7" operator="greaterThan"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M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22" width="12"/>
    <col collapsed="false" customWidth="true" hidden="false" outlineLevel="0" max="2" min="2" style="22" width="34"/>
    <col collapsed="false" customWidth="true" hidden="false" outlineLevel="0" max="8" min="3" style="22" width="12"/>
    <col collapsed="false" customWidth="true" hidden="false" outlineLevel="0" max="9" min="9" style="22" width="48"/>
    <col collapsed="false" customWidth="true" hidden="false" outlineLevel="0" max="10" min="10" style="22" width="28"/>
    <col collapsed="false" customWidth="true" hidden="false" outlineLevel="0" max="11" min="11" style="22" width="90"/>
    <col collapsed="false" customWidth="true" hidden="false" outlineLevel="0" max="12" min="12" style="22" width="12"/>
    <col collapsed="false" customWidth="true" hidden="false" outlineLevel="0" max="13" min="13" style="22" width="30"/>
  </cols>
  <sheetData>
    <row r="1" customFormat="false" ht="31.5" hidden="false" customHeight="true" outlineLevel="0" collapsed="false">
      <c r="A1" s="3" t="s">
        <v>2</v>
      </c>
      <c r="B1" s="3" t="s">
        <v>32</v>
      </c>
      <c r="C1" s="4" t="s">
        <v>33</v>
      </c>
      <c r="D1" s="4" t="s">
        <v>34</v>
      </c>
      <c r="E1" s="4" t="s">
        <v>35</v>
      </c>
      <c r="F1" s="4" t="s">
        <v>36</v>
      </c>
      <c r="G1" s="4" t="s">
        <v>37</v>
      </c>
      <c r="H1" s="4" t="s">
        <v>38</v>
      </c>
      <c r="I1" s="3" t="s">
        <v>39</v>
      </c>
      <c r="J1" s="3" t="s">
        <v>40</v>
      </c>
      <c r="K1" s="3" t="s">
        <v>41</v>
      </c>
      <c r="L1" s="3"/>
      <c r="M1" s="3" t="s">
        <v>42</v>
      </c>
    </row>
    <row r="2" customFormat="false" ht="28.35" hidden="false" customHeight="false" outlineLevel="0" collapsed="false">
      <c r="A2" s="23" t="s">
        <v>43</v>
      </c>
      <c r="B2" s="23" t="s">
        <v>44</v>
      </c>
      <c r="C2" s="24" t="n">
        <v>9</v>
      </c>
      <c r="D2" s="24" t="n">
        <v>8.87</v>
      </c>
      <c r="E2" s="24" t="n">
        <v>9.483</v>
      </c>
      <c r="F2" s="24" t="n">
        <v>9.93</v>
      </c>
      <c r="G2" s="24" t="n">
        <v>9.708</v>
      </c>
      <c r="H2" s="24" t="n">
        <v>10.1</v>
      </c>
      <c r="I2" s="25" t="s">
        <v>45</v>
      </c>
      <c r="J2" s="25" t="s">
        <v>46</v>
      </c>
      <c r="K2" s="25" t="s">
        <v>47</v>
      </c>
      <c r="L2" s="26"/>
      <c r="M2" s="27" t="s">
        <v>48</v>
      </c>
    </row>
    <row r="3" customFormat="false" ht="41.75" hidden="false" customHeight="false" outlineLevel="0" collapsed="false">
      <c r="A3" s="23" t="s">
        <v>43</v>
      </c>
      <c r="B3" s="23" t="s">
        <v>49</v>
      </c>
      <c r="C3" s="28" t="s">
        <v>50</v>
      </c>
      <c r="D3" s="28" t="n">
        <f aca="false">IFERROR(D2/C2-1,"")</f>
        <v>-0.0144444444444445</v>
      </c>
      <c r="E3" s="28" t="n">
        <f aca="false">IFERROR(E2/D2-1,"")</f>
        <v>0.0691093573844421</v>
      </c>
      <c r="F3" s="28" t="n">
        <f aca="false">IFERROR(F2/E2-1,"")</f>
        <v>0.0471369819677316</v>
      </c>
      <c r="G3" s="28" t="n">
        <f aca="false">IFERROR(G2/F2-1,"")</f>
        <v>-0.0223564954682779</v>
      </c>
      <c r="H3" s="28" t="s">
        <v>51</v>
      </c>
      <c r="I3" s="25" t="s">
        <v>19</v>
      </c>
      <c r="J3" s="25" t="s">
        <v>52</v>
      </c>
      <c r="K3" s="25" t="s">
        <v>53</v>
      </c>
      <c r="L3" s="26"/>
      <c r="M3" s="25" t="s">
        <v>54</v>
      </c>
    </row>
    <row r="4" customFormat="false" ht="28.35" hidden="false" customHeight="false" outlineLevel="0" collapsed="false">
      <c r="A4" s="23" t="s">
        <v>43</v>
      </c>
      <c r="B4" s="23" t="s">
        <v>55</v>
      </c>
      <c r="C4" s="24" t="n">
        <v>1.75</v>
      </c>
      <c r="D4" s="24" t="n">
        <v>1.81</v>
      </c>
      <c r="E4" s="24" t="n">
        <v>1.365</v>
      </c>
      <c r="F4" s="24" t="n">
        <v>0.627</v>
      </c>
      <c r="G4" s="24" t="n">
        <v>2.234</v>
      </c>
      <c r="H4" s="24" t="n">
        <v>1.77</v>
      </c>
      <c r="I4" s="25" t="s">
        <v>45</v>
      </c>
      <c r="J4" s="25" t="s">
        <v>46</v>
      </c>
      <c r="K4" s="25" t="s">
        <v>47</v>
      </c>
      <c r="L4" s="26"/>
      <c r="M4" s="26"/>
    </row>
    <row r="5" customFormat="false" ht="41.75" hidden="false" customHeight="false" outlineLevel="0" collapsed="false">
      <c r="A5" s="23" t="s">
        <v>43</v>
      </c>
      <c r="B5" s="23" t="s">
        <v>56</v>
      </c>
      <c r="C5" s="24" t="n">
        <v>4.22</v>
      </c>
      <c r="D5" s="24" t="n">
        <v>1.01</v>
      </c>
      <c r="E5" s="24" t="n">
        <v>1.055</v>
      </c>
      <c r="F5" s="24" t="n">
        <v>-0.098</v>
      </c>
      <c r="G5" s="24" t="n">
        <v>1.605</v>
      </c>
      <c r="H5" s="24" t="n">
        <v>1.56</v>
      </c>
      <c r="I5" s="25" t="s">
        <v>45</v>
      </c>
      <c r="J5" s="25" t="s">
        <v>46</v>
      </c>
      <c r="K5" s="25" t="s">
        <v>57</v>
      </c>
      <c r="L5" s="26"/>
      <c r="M5" s="29" t="s">
        <v>58</v>
      </c>
    </row>
    <row r="6" customFormat="false" ht="28.35" hidden="false" customHeight="false" outlineLevel="0" collapsed="false">
      <c r="A6" s="23" t="s">
        <v>43</v>
      </c>
      <c r="B6" s="23" t="s">
        <v>59</v>
      </c>
      <c r="C6" s="28" t="n">
        <f aca="false">IFERROR(C5/C2,"")</f>
        <v>0.468888888888889</v>
      </c>
      <c r="D6" s="28" t="n">
        <f aca="false">IFERROR(D5/D2,"")</f>
        <v>0.113866967305524</v>
      </c>
      <c r="E6" s="28" t="n">
        <f aca="false">IFERROR(E5/E2,"")</f>
        <v>0.111251713592745</v>
      </c>
      <c r="F6" s="28" t="n">
        <f aca="false">IFERROR(F5/F2,"")</f>
        <v>-0.00986908358509567</v>
      </c>
      <c r="G6" s="28" t="n">
        <f aca="false">IFERROR(G5/G2,"")</f>
        <v>0.165327564894932</v>
      </c>
      <c r="H6" s="28" t="n">
        <f aca="false">IFERROR(H5/H2,"")</f>
        <v>0.154455445544554</v>
      </c>
      <c r="I6" s="25" t="s">
        <v>19</v>
      </c>
      <c r="J6" s="25" t="s">
        <v>60</v>
      </c>
      <c r="K6" s="25" t="s">
        <v>61</v>
      </c>
      <c r="L6" s="26"/>
      <c r="M6" s="30" t="s">
        <v>16</v>
      </c>
    </row>
    <row r="7" customFormat="false" ht="41.75" hidden="false" customHeight="false" outlineLevel="0" collapsed="false">
      <c r="A7" s="23" t="s">
        <v>43</v>
      </c>
      <c r="B7" s="23" t="s">
        <v>62</v>
      </c>
      <c r="C7" s="24" t="n">
        <v>2.11</v>
      </c>
      <c r="D7" s="24" t="n">
        <v>0.97</v>
      </c>
      <c r="E7" s="24" t="n">
        <v>1.345</v>
      </c>
      <c r="F7" s="24" t="n">
        <v>1.512</v>
      </c>
      <c r="G7" s="24" t="n">
        <v>1.775</v>
      </c>
      <c r="H7" s="24" t="n">
        <v>2.04</v>
      </c>
      <c r="I7" s="25" t="s">
        <v>45</v>
      </c>
      <c r="J7" s="25" t="s">
        <v>46</v>
      </c>
      <c r="K7" s="25" t="s">
        <v>63</v>
      </c>
      <c r="L7" s="26"/>
      <c r="M7" s="31" t="s">
        <v>17</v>
      </c>
    </row>
    <row r="8" customFormat="false" ht="28.35" hidden="false" customHeight="false" outlineLevel="0" collapsed="false">
      <c r="A8" s="23" t="s">
        <v>43</v>
      </c>
      <c r="B8" s="23" t="s">
        <v>64</v>
      </c>
      <c r="C8" s="24" t="n">
        <v>0.28</v>
      </c>
      <c r="D8" s="24" t="n">
        <v>0.3</v>
      </c>
      <c r="E8" s="24" t="n">
        <v>0.242</v>
      </c>
      <c r="F8" s="24" t="n">
        <v>0.245</v>
      </c>
      <c r="G8" s="24" t="n">
        <v>0.229</v>
      </c>
      <c r="H8" s="24" t="n">
        <v>0.35</v>
      </c>
      <c r="I8" s="25" t="s">
        <v>45</v>
      </c>
      <c r="J8" s="25" t="s">
        <v>46</v>
      </c>
      <c r="K8" s="25" t="s">
        <v>65</v>
      </c>
      <c r="L8" s="26"/>
      <c r="M8" s="32" t="s">
        <v>18</v>
      </c>
    </row>
    <row r="9" customFormat="false" ht="28.35" hidden="false" customHeight="false" outlineLevel="0" collapsed="false">
      <c r="A9" s="23" t="s">
        <v>43</v>
      </c>
      <c r="B9" s="23" t="s">
        <v>66</v>
      </c>
      <c r="C9" s="33" t="n">
        <f aca="false">IFERROR(C7-C8,"")</f>
        <v>1.83</v>
      </c>
      <c r="D9" s="33" t="n">
        <f aca="false">IFERROR(D7-D8,"")</f>
        <v>0.67</v>
      </c>
      <c r="E9" s="33" t="n">
        <f aca="false">IFERROR(E7-E8,"")</f>
        <v>1.103</v>
      </c>
      <c r="F9" s="33" t="n">
        <f aca="false">IFERROR(F7-F8,"")</f>
        <v>1.267</v>
      </c>
      <c r="G9" s="33" t="n">
        <f aca="false">IFERROR(G7-G8,"")</f>
        <v>1.546</v>
      </c>
      <c r="H9" s="33" t="n">
        <f aca="false">IFERROR(H7-H8,"")</f>
        <v>1.69</v>
      </c>
      <c r="I9" s="25" t="s">
        <v>19</v>
      </c>
      <c r="J9" s="25" t="s">
        <v>60</v>
      </c>
      <c r="K9" s="25" t="s">
        <v>61</v>
      </c>
      <c r="L9" s="26"/>
      <c r="M9" s="34" t="s">
        <v>19</v>
      </c>
    </row>
    <row r="10" customFormat="false" ht="28.35" hidden="false" customHeight="false" outlineLevel="0" collapsed="false">
      <c r="A10" s="23" t="s">
        <v>43</v>
      </c>
      <c r="B10" s="23" t="s">
        <v>67</v>
      </c>
      <c r="C10" s="24" t="n">
        <v>13.5</v>
      </c>
      <c r="D10" s="24" t="n">
        <v>13.83</v>
      </c>
      <c r="E10" s="24" t="n">
        <v>14.06</v>
      </c>
      <c r="F10" s="24" t="n">
        <v>15.105</v>
      </c>
      <c r="G10" s="24" t="n">
        <v>16.874</v>
      </c>
      <c r="H10" s="24" t="n">
        <v>16.75</v>
      </c>
      <c r="I10" s="25" t="s">
        <v>45</v>
      </c>
      <c r="J10" s="25" t="s">
        <v>68</v>
      </c>
      <c r="K10" s="25" t="s">
        <v>69</v>
      </c>
      <c r="L10" s="26"/>
      <c r="M10" s="26"/>
    </row>
    <row r="11" customFormat="false" ht="28.35" hidden="false" customHeight="false" outlineLevel="0" collapsed="false">
      <c r="A11" s="23" t="s">
        <v>43</v>
      </c>
      <c r="B11" s="23" t="s">
        <v>70</v>
      </c>
      <c r="C11" s="24" t="n">
        <v>12.6</v>
      </c>
      <c r="D11" s="24" t="n">
        <v>12.93</v>
      </c>
      <c r="E11" s="24" t="n">
        <v>13.26</v>
      </c>
      <c r="F11" s="24" t="n">
        <v>12.598</v>
      </c>
      <c r="G11" s="24" t="n">
        <v>14.004</v>
      </c>
      <c r="H11" s="24" t="n">
        <v>15.25</v>
      </c>
      <c r="I11" s="25" t="s">
        <v>45</v>
      </c>
      <c r="J11" s="25" t="s">
        <v>68</v>
      </c>
      <c r="K11" s="25" t="s">
        <v>71</v>
      </c>
      <c r="L11" s="26"/>
      <c r="M11" s="26"/>
    </row>
    <row r="12" customFormat="false" ht="28.35" hidden="false" customHeight="false" outlineLevel="0" collapsed="false">
      <c r="A12" s="23" t="s">
        <v>43</v>
      </c>
      <c r="B12" s="23" t="s">
        <v>72</v>
      </c>
      <c r="C12" s="35" t="n">
        <f aca="false">IFERROR(C10/C11,"")</f>
        <v>1.07142857142857</v>
      </c>
      <c r="D12" s="35" t="n">
        <f aca="false">IFERROR(D10/D11,"")</f>
        <v>1.06960556844548</v>
      </c>
      <c r="E12" s="35" t="n">
        <f aca="false">IFERROR(E10/E11,"")</f>
        <v>1.06033182503771</v>
      </c>
      <c r="F12" s="35" t="n">
        <f aca="false">IFERROR(F10/F11,"")</f>
        <v>1.19899984124464</v>
      </c>
      <c r="G12" s="35" t="n">
        <f aca="false">IFERROR(G10/G11,"")</f>
        <v>1.20494144530134</v>
      </c>
      <c r="H12" s="35" t="n">
        <f aca="false">IFERROR(H10/H11,"")</f>
        <v>1.09836065573771</v>
      </c>
      <c r="I12" s="25" t="s">
        <v>19</v>
      </c>
      <c r="J12" s="25" t="s">
        <v>60</v>
      </c>
      <c r="K12" s="25" t="s">
        <v>61</v>
      </c>
      <c r="L12" s="26"/>
      <c r="M12" s="26"/>
    </row>
    <row r="13" customFormat="false" ht="41.75" hidden="false" customHeight="false" outlineLevel="0" collapsed="false">
      <c r="A13" s="23" t="s">
        <v>43</v>
      </c>
      <c r="B13" s="23" t="s">
        <v>73</v>
      </c>
      <c r="C13" s="24" t="n">
        <v>5.49</v>
      </c>
      <c r="D13" s="24" t="n">
        <v>5.48</v>
      </c>
      <c r="E13" s="24" t="n">
        <v>5.95</v>
      </c>
      <c r="F13" s="24" t="n">
        <v>5.929</v>
      </c>
      <c r="G13" s="24" t="n">
        <v>6.903</v>
      </c>
      <c r="H13" s="24" t="n">
        <v>7.1</v>
      </c>
      <c r="I13" s="25" t="s">
        <v>45</v>
      </c>
      <c r="J13" s="25" t="s">
        <v>68</v>
      </c>
      <c r="K13" s="25" t="s">
        <v>74</v>
      </c>
      <c r="L13" s="26"/>
      <c r="M13" s="26"/>
    </row>
    <row r="14" customFormat="false" ht="41.75" hidden="false" customHeight="false" outlineLevel="0" collapsed="false">
      <c r="A14" s="23" t="s">
        <v>43</v>
      </c>
      <c r="B14" s="23" t="s">
        <v>75</v>
      </c>
      <c r="C14" s="24" t="n">
        <v>0.28</v>
      </c>
      <c r="D14" s="24" t="n">
        <v>0.3</v>
      </c>
      <c r="E14" s="24" t="n">
        <v>0.235</v>
      </c>
      <c r="F14" s="24" t="n">
        <v>0.263</v>
      </c>
      <c r="G14" s="24" t="n">
        <v>0.26</v>
      </c>
      <c r="H14" s="24" t="n">
        <v>0.34</v>
      </c>
      <c r="I14" s="25" t="s">
        <v>45</v>
      </c>
      <c r="J14" s="25" t="s">
        <v>46</v>
      </c>
      <c r="K14" s="25" t="s">
        <v>76</v>
      </c>
      <c r="L14" s="26"/>
      <c r="M14" s="26"/>
    </row>
    <row r="15" customFormat="false" ht="28.35" hidden="false" customHeight="false" outlineLevel="0" collapsed="false">
      <c r="A15" s="23" t="s">
        <v>43</v>
      </c>
      <c r="B15" s="23" t="s">
        <v>77</v>
      </c>
      <c r="C15" s="35" t="n">
        <f aca="false">IFERROR(C4/C14,"")</f>
        <v>6.25</v>
      </c>
      <c r="D15" s="35" t="n">
        <f aca="false">IFERROR(D4/D14,"")</f>
        <v>6.03333333333333</v>
      </c>
      <c r="E15" s="35" t="n">
        <f aca="false">IFERROR(E4/E14,"")</f>
        <v>5.80851063829787</v>
      </c>
      <c r="F15" s="35" t="n">
        <f aca="false">IFERROR(F4/F14,"")</f>
        <v>2.38403041825095</v>
      </c>
      <c r="G15" s="35" t="n">
        <f aca="false">IFERROR(G4/G14,"")</f>
        <v>8.59230769230769</v>
      </c>
      <c r="H15" s="35" t="n">
        <f aca="false">IFERROR(H4/H14,"")</f>
        <v>5.20588235294118</v>
      </c>
      <c r="I15" s="25" t="s">
        <v>19</v>
      </c>
      <c r="J15" s="25" t="s">
        <v>60</v>
      </c>
      <c r="K15" s="25" t="s">
        <v>61</v>
      </c>
      <c r="L15" s="26"/>
      <c r="M15" s="26"/>
    </row>
    <row r="16" customFormat="false" ht="28.35" hidden="false" customHeight="false" outlineLevel="0" collapsed="false">
      <c r="A16" s="36" t="s">
        <v>78</v>
      </c>
      <c r="B16" s="36" t="s">
        <v>44</v>
      </c>
      <c r="C16" s="37" t="n">
        <v>12.2</v>
      </c>
      <c r="D16" s="37" t="n">
        <v>12.5</v>
      </c>
      <c r="E16" s="37" t="n">
        <v>13.376</v>
      </c>
      <c r="F16" s="37" t="n">
        <v>15.698</v>
      </c>
      <c r="G16" s="37" t="n">
        <v>17.181</v>
      </c>
      <c r="H16" s="37" t="n">
        <v>17.58</v>
      </c>
      <c r="I16" s="38" t="s">
        <v>79</v>
      </c>
      <c r="J16" s="38" t="s">
        <v>46</v>
      </c>
      <c r="K16" s="38" t="s">
        <v>47</v>
      </c>
      <c r="L16" s="26"/>
      <c r="M16" s="26"/>
    </row>
    <row r="17" customFormat="false" ht="41.75" hidden="false" customHeight="false" outlineLevel="0" collapsed="false">
      <c r="A17" s="23" t="s">
        <v>78</v>
      </c>
      <c r="B17" s="23" t="s">
        <v>49</v>
      </c>
      <c r="C17" s="28" t="s">
        <v>50</v>
      </c>
      <c r="D17" s="28" t="n">
        <f aca="false">IFERROR(D16/C16-1,"")</f>
        <v>0.0245901639344264</v>
      </c>
      <c r="E17" s="28" t="n">
        <f aca="false">IFERROR(E16/D16-1,"")</f>
        <v>0.0700799999999999</v>
      </c>
      <c r="F17" s="28" t="n">
        <f aca="false">IFERROR(F16/E16-1,"")</f>
        <v>0.173594497607656</v>
      </c>
      <c r="G17" s="28" t="n">
        <f aca="false">IFERROR(G16/F16-1,"")</f>
        <v>0.0944706332016818</v>
      </c>
      <c r="H17" s="28" t="s">
        <v>51</v>
      </c>
      <c r="I17" s="25" t="s">
        <v>19</v>
      </c>
      <c r="J17" s="25" t="s">
        <v>52</v>
      </c>
      <c r="K17" s="25" t="s">
        <v>53</v>
      </c>
      <c r="L17" s="26"/>
      <c r="M17" s="26"/>
    </row>
    <row r="18" customFormat="false" ht="28.35" hidden="false" customHeight="false" outlineLevel="0" collapsed="false">
      <c r="A18" s="23" t="s">
        <v>78</v>
      </c>
      <c r="B18" s="23" t="s">
        <v>55</v>
      </c>
      <c r="C18" s="24" t="n">
        <v>3.1</v>
      </c>
      <c r="D18" s="24" t="n">
        <v>3.2</v>
      </c>
      <c r="E18" s="24" t="n">
        <v>3.785</v>
      </c>
      <c r="F18" s="24" t="n">
        <v>3.835</v>
      </c>
      <c r="G18" s="24" t="n">
        <v>4.344</v>
      </c>
      <c r="H18" s="24" t="n">
        <v>4.2</v>
      </c>
      <c r="I18" s="25" t="s">
        <v>79</v>
      </c>
      <c r="J18" s="25" t="s">
        <v>46</v>
      </c>
      <c r="K18" s="25" t="s">
        <v>47</v>
      </c>
      <c r="L18" s="26"/>
      <c r="M18" s="26"/>
    </row>
    <row r="19" customFormat="false" ht="28.35" hidden="false" customHeight="false" outlineLevel="0" collapsed="false">
      <c r="A19" s="23" t="s">
        <v>78</v>
      </c>
      <c r="B19" s="23" t="s">
        <v>56</v>
      </c>
      <c r="C19" s="24" t="n">
        <v>2.4</v>
      </c>
      <c r="D19" s="24" t="n">
        <v>2.6</v>
      </c>
      <c r="E19" s="24" t="n">
        <v>2.564</v>
      </c>
      <c r="F19" s="24" t="n">
        <v>2.654</v>
      </c>
      <c r="G19" s="24" t="n">
        <v>3.695</v>
      </c>
      <c r="H19" s="24" t="n">
        <v>3.91</v>
      </c>
      <c r="I19" s="25" t="s">
        <v>79</v>
      </c>
      <c r="J19" s="25" t="s">
        <v>46</v>
      </c>
      <c r="K19" s="25" t="s">
        <v>47</v>
      </c>
      <c r="L19" s="26"/>
      <c r="M19" s="26"/>
    </row>
    <row r="20" customFormat="false" ht="28.35" hidden="false" customHeight="false" outlineLevel="0" collapsed="false">
      <c r="A20" s="23" t="s">
        <v>78</v>
      </c>
      <c r="B20" s="23" t="s">
        <v>59</v>
      </c>
      <c r="C20" s="28" t="n">
        <f aca="false">IFERROR(C19/C16,"")</f>
        <v>0.19672131147541</v>
      </c>
      <c r="D20" s="28" t="n">
        <f aca="false">IFERROR(D19/D16,"")</f>
        <v>0.208</v>
      </c>
      <c r="E20" s="28" t="n">
        <f aca="false">IFERROR(E19/E16,"")</f>
        <v>0.191686602870813</v>
      </c>
      <c r="F20" s="28" t="n">
        <f aca="false">IFERROR(F19/F16,"")</f>
        <v>0.169066123073003</v>
      </c>
      <c r="G20" s="28" t="n">
        <f aca="false">IFERROR(G19/G16,"")</f>
        <v>0.215063151155346</v>
      </c>
      <c r="H20" s="28" t="n">
        <f aca="false">IFERROR(H19/H16,"")</f>
        <v>0.222411831626849</v>
      </c>
      <c r="I20" s="25" t="s">
        <v>19</v>
      </c>
      <c r="J20" s="25" t="s">
        <v>60</v>
      </c>
      <c r="K20" s="25" t="s">
        <v>61</v>
      </c>
      <c r="L20" s="26"/>
      <c r="M20" s="26"/>
    </row>
    <row r="21" customFormat="false" ht="28.35" hidden="false" customHeight="false" outlineLevel="0" collapsed="false">
      <c r="A21" s="23" t="s">
        <v>78</v>
      </c>
      <c r="B21" s="23" t="s">
        <v>62</v>
      </c>
      <c r="C21" s="24" t="n">
        <v>2.6</v>
      </c>
      <c r="D21" s="24" t="n">
        <v>2.8</v>
      </c>
      <c r="E21" s="24" t="n">
        <v>3.1</v>
      </c>
      <c r="F21" s="24" t="n">
        <v>3.2</v>
      </c>
      <c r="G21" s="24" t="n">
        <v>3.5</v>
      </c>
      <c r="H21" s="24" t="n">
        <v>3.8</v>
      </c>
      <c r="I21" s="25" t="s">
        <v>79</v>
      </c>
      <c r="J21" s="25" t="s">
        <v>16</v>
      </c>
      <c r="K21" s="25" t="s">
        <v>80</v>
      </c>
      <c r="L21" s="26"/>
      <c r="M21" s="26"/>
    </row>
    <row r="22" customFormat="false" ht="28.35" hidden="false" customHeight="false" outlineLevel="0" collapsed="false">
      <c r="A22" s="23" t="s">
        <v>78</v>
      </c>
      <c r="B22" s="23" t="s">
        <v>64</v>
      </c>
      <c r="C22" s="24" t="n">
        <v>0.4</v>
      </c>
      <c r="D22" s="24" t="n">
        <v>0.45</v>
      </c>
      <c r="E22" s="24" t="n">
        <v>0.5</v>
      </c>
      <c r="F22" s="24" t="n">
        <v>0.55</v>
      </c>
      <c r="G22" s="24" t="n">
        <v>0.65</v>
      </c>
      <c r="H22" s="24" t="n">
        <v>0.73</v>
      </c>
      <c r="I22" s="25" t="s">
        <v>79</v>
      </c>
      <c r="J22" s="25" t="s">
        <v>16</v>
      </c>
      <c r="K22" s="25" t="s">
        <v>80</v>
      </c>
      <c r="L22" s="26"/>
      <c r="M22" s="26"/>
    </row>
    <row r="23" customFormat="false" ht="28.35" hidden="false" customHeight="false" outlineLevel="0" collapsed="false">
      <c r="A23" s="23" t="s">
        <v>78</v>
      </c>
      <c r="B23" s="23" t="s">
        <v>66</v>
      </c>
      <c r="C23" s="33" t="n">
        <f aca="false">IFERROR(C21-C22,"")</f>
        <v>2.2</v>
      </c>
      <c r="D23" s="33" t="n">
        <f aca="false">IFERROR(D21-D22,"")</f>
        <v>2.35</v>
      </c>
      <c r="E23" s="33" t="n">
        <f aca="false">IFERROR(E21-E22,"")</f>
        <v>2.6</v>
      </c>
      <c r="F23" s="33" t="n">
        <f aca="false">IFERROR(F21-F22,"")</f>
        <v>2.65</v>
      </c>
      <c r="G23" s="33" t="n">
        <f aca="false">IFERROR(G21-G22,"")</f>
        <v>2.85</v>
      </c>
      <c r="H23" s="33" t="n">
        <f aca="false">IFERROR(H21-H22,"")</f>
        <v>3.07</v>
      </c>
      <c r="I23" s="25" t="s">
        <v>19</v>
      </c>
      <c r="J23" s="25" t="s">
        <v>60</v>
      </c>
      <c r="K23" s="25" t="s">
        <v>61</v>
      </c>
      <c r="L23" s="26"/>
      <c r="M23" s="26"/>
    </row>
    <row r="24" customFormat="false" ht="28.35" hidden="false" customHeight="false" outlineLevel="0" collapsed="false">
      <c r="A24" s="23" t="s">
        <v>78</v>
      </c>
      <c r="B24" s="23" t="s">
        <v>67</v>
      </c>
      <c r="C24" s="24" t="n">
        <v>14.1</v>
      </c>
      <c r="D24" s="24" t="n">
        <v>14.5</v>
      </c>
      <c r="E24" s="24" t="n">
        <v>15.1</v>
      </c>
      <c r="F24" s="24" t="n">
        <v>15.8</v>
      </c>
      <c r="G24" s="24" t="n">
        <v>16.1</v>
      </c>
      <c r="H24" s="24" t="n">
        <v>16.5</v>
      </c>
      <c r="I24" s="25" t="s">
        <v>79</v>
      </c>
      <c r="J24" s="25" t="s">
        <v>16</v>
      </c>
      <c r="K24" s="25" t="s">
        <v>81</v>
      </c>
      <c r="L24" s="26"/>
      <c r="M24" s="26"/>
    </row>
    <row r="25" customFormat="false" ht="28.35" hidden="false" customHeight="false" outlineLevel="0" collapsed="false">
      <c r="A25" s="23" t="s">
        <v>78</v>
      </c>
      <c r="B25" s="23" t="s">
        <v>70</v>
      </c>
      <c r="C25" s="24" t="n">
        <v>15.2</v>
      </c>
      <c r="D25" s="24" t="n">
        <v>15.5</v>
      </c>
      <c r="E25" s="24" t="n">
        <v>16.2</v>
      </c>
      <c r="F25" s="24" t="n">
        <v>16.5</v>
      </c>
      <c r="G25" s="24" t="n">
        <v>16.9</v>
      </c>
      <c r="H25" s="24" t="n">
        <v>17.1</v>
      </c>
      <c r="I25" s="25" t="s">
        <v>79</v>
      </c>
      <c r="J25" s="25" t="s">
        <v>16</v>
      </c>
      <c r="K25" s="25" t="s">
        <v>81</v>
      </c>
      <c r="L25" s="26"/>
      <c r="M25" s="26"/>
    </row>
    <row r="26" customFormat="false" ht="28.35" hidden="false" customHeight="false" outlineLevel="0" collapsed="false">
      <c r="A26" s="23" t="s">
        <v>78</v>
      </c>
      <c r="B26" s="23" t="s">
        <v>72</v>
      </c>
      <c r="C26" s="35" t="n">
        <f aca="false">IFERROR(C24/C25,"")</f>
        <v>0.927631578947369</v>
      </c>
      <c r="D26" s="35" t="n">
        <f aca="false">IFERROR(D24/D25,"")</f>
        <v>0.935483870967742</v>
      </c>
      <c r="E26" s="35" t="n">
        <f aca="false">IFERROR(E24/E25,"")</f>
        <v>0.932098765432099</v>
      </c>
      <c r="F26" s="35" t="n">
        <f aca="false">IFERROR(F24/F25,"")</f>
        <v>0.957575757575758</v>
      </c>
      <c r="G26" s="35" t="n">
        <f aca="false">IFERROR(G24/G25,"")</f>
        <v>0.952662721893491</v>
      </c>
      <c r="H26" s="35" t="n">
        <f aca="false">IFERROR(H24/H25,"")</f>
        <v>0.964912280701754</v>
      </c>
      <c r="I26" s="25" t="s">
        <v>19</v>
      </c>
      <c r="J26" s="25" t="s">
        <v>60</v>
      </c>
      <c r="K26" s="25" t="s">
        <v>61</v>
      </c>
      <c r="L26" s="26"/>
      <c r="M26" s="26"/>
    </row>
    <row r="27" customFormat="false" ht="28.35" hidden="false" customHeight="false" outlineLevel="0" collapsed="false">
      <c r="A27" s="23" t="s">
        <v>78</v>
      </c>
      <c r="B27" s="23" t="s">
        <v>73</v>
      </c>
      <c r="C27" s="24" t="n">
        <v>11.2</v>
      </c>
      <c r="D27" s="24" t="n">
        <v>11.5</v>
      </c>
      <c r="E27" s="24" t="n">
        <v>11.8</v>
      </c>
      <c r="F27" s="24" t="n">
        <v>12.1</v>
      </c>
      <c r="G27" s="24" t="n">
        <v>14.5</v>
      </c>
      <c r="H27" s="24" t="n">
        <v>15.87</v>
      </c>
      <c r="I27" s="25" t="s">
        <v>79</v>
      </c>
      <c r="J27" s="25" t="s">
        <v>16</v>
      </c>
      <c r="K27" s="25" t="s">
        <v>81</v>
      </c>
      <c r="L27" s="26"/>
      <c r="M27" s="26"/>
    </row>
    <row r="28" customFormat="false" ht="28.35" hidden="false" customHeight="false" outlineLevel="0" collapsed="false">
      <c r="A28" s="23" t="s">
        <v>78</v>
      </c>
      <c r="B28" s="23" t="s">
        <v>75</v>
      </c>
      <c r="C28" s="24" t="n">
        <v>0.42</v>
      </c>
      <c r="D28" s="24" t="n">
        <v>0.45</v>
      </c>
      <c r="E28" s="24" t="n">
        <v>0.48</v>
      </c>
      <c r="F28" s="24" t="n">
        <v>0.788</v>
      </c>
      <c r="G28" s="24" t="n">
        <v>0.815</v>
      </c>
      <c r="H28" s="24" t="n">
        <v>0.52</v>
      </c>
      <c r="I28" s="25" t="s">
        <v>79</v>
      </c>
      <c r="J28" s="25" t="s">
        <v>17</v>
      </c>
      <c r="K28" s="25" t="s">
        <v>82</v>
      </c>
      <c r="L28" s="26"/>
      <c r="M28" s="26"/>
    </row>
    <row r="29" customFormat="false" ht="28.35" hidden="false" customHeight="false" outlineLevel="0" collapsed="false">
      <c r="A29" s="23" t="s">
        <v>78</v>
      </c>
      <c r="B29" s="23" t="s">
        <v>77</v>
      </c>
      <c r="C29" s="35" t="n">
        <f aca="false">IFERROR(C18/C28,"")</f>
        <v>7.38095238095238</v>
      </c>
      <c r="D29" s="35" t="n">
        <f aca="false">IFERROR(D18/D28,"")</f>
        <v>7.11111111111111</v>
      </c>
      <c r="E29" s="35" t="n">
        <f aca="false">IFERROR(E18/E28,"")</f>
        <v>7.88541666666667</v>
      </c>
      <c r="F29" s="35" t="n">
        <f aca="false">IFERROR(F18/F28,"")</f>
        <v>4.86675126903553</v>
      </c>
      <c r="G29" s="35" t="n">
        <f aca="false">IFERROR(G18/G28,"")</f>
        <v>5.33006134969325</v>
      </c>
      <c r="H29" s="35" t="n">
        <f aca="false">IFERROR(H18/H28,"")</f>
        <v>8.07692307692308</v>
      </c>
      <c r="I29" s="25" t="s">
        <v>19</v>
      </c>
      <c r="J29" s="25" t="s">
        <v>60</v>
      </c>
      <c r="K29" s="25" t="s">
        <v>61</v>
      </c>
      <c r="L29" s="26"/>
      <c r="M29" s="26"/>
    </row>
    <row r="30" customFormat="false" ht="28.35" hidden="false" customHeight="false" outlineLevel="0" collapsed="false">
      <c r="A30" s="36" t="s">
        <v>83</v>
      </c>
      <c r="B30" s="36" t="s">
        <v>44</v>
      </c>
      <c r="C30" s="37" t="n">
        <v>19.82</v>
      </c>
      <c r="D30" s="37" t="n">
        <v>20.7</v>
      </c>
      <c r="E30" s="37" t="n">
        <v>22.736</v>
      </c>
      <c r="F30" s="37" t="n">
        <v>24.458</v>
      </c>
      <c r="G30" s="37" t="n">
        <v>26.981</v>
      </c>
      <c r="H30" s="37" t="n">
        <v>27.95</v>
      </c>
      <c r="I30" s="38" t="s">
        <v>84</v>
      </c>
      <c r="J30" s="38" t="s">
        <v>46</v>
      </c>
      <c r="K30" s="38" t="s">
        <v>47</v>
      </c>
      <c r="L30" s="26"/>
      <c r="M30" s="26"/>
    </row>
    <row r="31" customFormat="false" ht="41.75" hidden="false" customHeight="false" outlineLevel="0" collapsed="false">
      <c r="A31" s="23" t="s">
        <v>83</v>
      </c>
      <c r="B31" s="23" t="s">
        <v>49</v>
      </c>
      <c r="C31" s="28" t="s">
        <v>50</v>
      </c>
      <c r="D31" s="28" t="n">
        <f aca="false">IFERROR(D30/C30-1,"")</f>
        <v>0.0443995963673056</v>
      </c>
      <c r="E31" s="28" t="n">
        <f aca="false">IFERROR(E30/D30-1,"")</f>
        <v>0.0983574879227054</v>
      </c>
      <c r="F31" s="28" t="n">
        <f aca="false">IFERROR(F30/E30-1,"")</f>
        <v>0.0757389162561575</v>
      </c>
      <c r="G31" s="28" t="n">
        <f aca="false">IFERROR(G30/F30-1,"")</f>
        <v>0.103156431433478</v>
      </c>
      <c r="H31" s="28" t="s">
        <v>51</v>
      </c>
      <c r="I31" s="25" t="s">
        <v>19</v>
      </c>
      <c r="J31" s="25" t="s">
        <v>52</v>
      </c>
      <c r="K31" s="25" t="s">
        <v>53</v>
      </c>
      <c r="L31" s="26"/>
      <c r="M31" s="26"/>
    </row>
    <row r="32" customFormat="false" ht="28.35" hidden="false" customHeight="false" outlineLevel="0" collapsed="false">
      <c r="A32" s="23" t="s">
        <v>83</v>
      </c>
      <c r="B32" s="23" t="s">
        <v>55</v>
      </c>
      <c r="C32" s="24" t="n">
        <v>4.3</v>
      </c>
      <c r="D32" s="24" t="n">
        <v>4.6</v>
      </c>
      <c r="E32" s="24" t="n">
        <v>5.282</v>
      </c>
      <c r="F32" s="24" t="n">
        <v>5.817</v>
      </c>
      <c r="G32" s="24" t="n">
        <v>6.223</v>
      </c>
      <c r="H32" s="24" t="n">
        <v>6.4</v>
      </c>
      <c r="I32" s="25" t="s">
        <v>84</v>
      </c>
      <c r="J32" s="25" t="s">
        <v>46</v>
      </c>
      <c r="K32" s="25" t="s">
        <v>47</v>
      </c>
      <c r="L32" s="26"/>
      <c r="M32" s="26"/>
    </row>
    <row r="33" customFormat="false" ht="28.35" hidden="false" customHeight="false" outlineLevel="0" collapsed="false">
      <c r="A33" s="23" t="s">
        <v>83</v>
      </c>
      <c r="B33" s="23" t="s">
        <v>56</v>
      </c>
      <c r="C33" s="24" t="n">
        <v>3.1</v>
      </c>
      <c r="D33" s="24" t="n">
        <v>3.4</v>
      </c>
      <c r="E33" s="24" t="n">
        <v>3.756</v>
      </c>
      <c r="F33" s="24" t="n">
        <v>4.06</v>
      </c>
      <c r="G33" s="24" t="n">
        <v>4.16</v>
      </c>
      <c r="H33" s="24" t="n">
        <v>4.8</v>
      </c>
      <c r="I33" s="25" t="s">
        <v>84</v>
      </c>
      <c r="J33" s="25" t="s">
        <v>46</v>
      </c>
      <c r="K33" s="25" t="s">
        <v>47</v>
      </c>
      <c r="L33" s="26"/>
      <c r="M33" s="26"/>
    </row>
    <row r="34" customFormat="false" ht="28.35" hidden="false" customHeight="false" outlineLevel="0" collapsed="false">
      <c r="A34" s="23" t="s">
        <v>83</v>
      </c>
      <c r="B34" s="23" t="s">
        <v>59</v>
      </c>
      <c r="C34" s="28" t="n">
        <f aca="false">IFERROR(C33/C30,"")</f>
        <v>0.156407669021191</v>
      </c>
      <c r="D34" s="28" t="n">
        <f aca="false">IFERROR(D33/D30,"")</f>
        <v>0.164251207729469</v>
      </c>
      <c r="E34" s="28" t="n">
        <f aca="false">IFERROR(E33/E30,"")</f>
        <v>0.165200562983814</v>
      </c>
      <c r="F34" s="28" t="n">
        <f aca="false">IFERROR(F33/F30,"")</f>
        <v>0.165998855180309</v>
      </c>
      <c r="G34" s="28" t="n">
        <f aca="false">IFERROR(G33/G30,"")</f>
        <v>0.154182572921686</v>
      </c>
      <c r="H34" s="28" t="n">
        <f aca="false">IFERROR(H33/H30,"")</f>
        <v>0.171735241502683</v>
      </c>
      <c r="I34" s="25" t="s">
        <v>19</v>
      </c>
      <c r="J34" s="25" t="s">
        <v>60</v>
      </c>
      <c r="K34" s="25" t="s">
        <v>61</v>
      </c>
      <c r="L34" s="26"/>
      <c r="M34" s="26"/>
    </row>
    <row r="35" customFormat="false" ht="28.35" hidden="false" customHeight="false" outlineLevel="0" collapsed="false">
      <c r="A35" s="23" t="s">
        <v>83</v>
      </c>
      <c r="B35" s="23" t="s">
        <v>62</v>
      </c>
      <c r="C35" s="24" t="n">
        <v>3.9</v>
      </c>
      <c r="D35" s="24" t="n">
        <v>4.2</v>
      </c>
      <c r="E35" s="24" t="n">
        <v>4.6</v>
      </c>
      <c r="F35" s="24" t="n">
        <v>4.9</v>
      </c>
      <c r="G35" s="24" t="n">
        <v>5.3</v>
      </c>
      <c r="H35" s="24" t="n">
        <v>5.8</v>
      </c>
      <c r="I35" s="25" t="s">
        <v>84</v>
      </c>
      <c r="J35" s="25" t="s">
        <v>16</v>
      </c>
      <c r="K35" s="25" t="s">
        <v>80</v>
      </c>
      <c r="L35" s="26"/>
      <c r="M35" s="26"/>
    </row>
    <row r="36" customFormat="false" ht="28.35" hidden="false" customHeight="false" outlineLevel="0" collapsed="false">
      <c r="A36" s="23" t="s">
        <v>83</v>
      </c>
      <c r="B36" s="23" t="s">
        <v>64</v>
      </c>
      <c r="C36" s="24" t="n">
        <v>0.5</v>
      </c>
      <c r="D36" s="24" t="n">
        <v>0.55</v>
      </c>
      <c r="E36" s="24" t="n">
        <v>0.6</v>
      </c>
      <c r="F36" s="24" t="n">
        <v>0.65</v>
      </c>
      <c r="G36" s="24" t="n">
        <v>0.7</v>
      </c>
      <c r="H36" s="24" t="n">
        <v>0.78</v>
      </c>
      <c r="I36" s="25" t="s">
        <v>84</v>
      </c>
      <c r="J36" s="25" t="s">
        <v>16</v>
      </c>
      <c r="K36" s="25" t="s">
        <v>80</v>
      </c>
      <c r="L36" s="26"/>
      <c r="M36" s="26"/>
    </row>
    <row r="37" customFormat="false" ht="28.35" hidden="false" customHeight="false" outlineLevel="0" collapsed="false">
      <c r="A37" s="23" t="s">
        <v>83</v>
      </c>
      <c r="B37" s="23" t="s">
        <v>66</v>
      </c>
      <c r="C37" s="33" t="n">
        <f aca="false">IFERROR(C35-C36,"")</f>
        <v>3.4</v>
      </c>
      <c r="D37" s="33" t="n">
        <f aca="false">IFERROR(D35-D36,"")</f>
        <v>3.65</v>
      </c>
      <c r="E37" s="33" t="n">
        <f aca="false">IFERROR(E35-E36,"")</f>
        <v>4</v>
      </c>
      <c r="F37" s="33" t="n">
        <f aca="false">IFERROR(F35-F36,"")</f>
        <v>4.25</v>
      </c>
      <c r="G37" s="33" t="n">
        <f aca="false">IFERROR(G35-G36,"")</f>
        <v>4.6</v>
      </c>
      <c r="H37" s="33" t="n">
        <f aca="false">IFERROR(H35-H36,"")</f>
        <v>5.02</v>
      </c>
      <c r="I37" s="25" t="s">
        <v>19</v>
      </c>
      <c r="J37" s="25" t="s">
        <v>60</v>
      </c>
      <c r="K37" s="25" t="s">
        <v>61</v>
      </c>
      <c r="L37" s="26"/>
      <c r="M37" s="26"/>
    </row>
    <row r="38" customFormat="false" ht="28.35" hidden="false" customHeight="false" outlineLevel="0" collapsed="false">
      <c r="A38" s="23" t="s">
        <v>83</v>
      </c>
      <c r="B38" s="23" t="s">
        <v>67</v>
      </c>
      <c r="C38" s="24" t="n">
        <v>22.1</v>
      </c>
      <c r="D38" s="24" t="n">
        <v>23.4</v>
      </c>
      <c r="E38" s="24" t="n">
        <v>24.8</v>
      </c>
      <c r="F38" s="24" t="n">
        <v>26.1</v>
      </c>
      <c r="G38" s="24" t="n">
        <v>27.5</v>
      </c>
      <c r="H38" s="24" t="n">
        <v>28.9</v>
      </c>
      <c r="I38" s="25" t="s">
        <v>84</v>
      </c>
      <c r="J38" s="25" t="s">
        <v>16</v>
      </c>
      <c r="K38" s="25" t="s">
        <v>81</v>
      </c>
      <c r="L38" s="26"/>
      <c r="M38" s="26"/>
    </row>
    <row r="39" customFormat="false" ht="28.35" hidden="false" customHeight="false" outlineLevel="0" collapsed="false">
      <c r="A39" s="23" t="s">
        <v>83</v>
      </c>
      <c r="B39" s="23" t="s">
        <v>70</v>
      </c>
      <c r="C39" s="24" t="n">
        <v>19.5</v>
      </c>
      <c r="D39" s="24" t="n">
        <v>20.1</v>
      </c>
      <c r="E39" s="24" t="n">
        <v>21.3</v>
      </c>
      <c r="F39" s="24" t="n">
        <v>22.4</v>
      </c>
      <c r="G39" s="24" t="n">
        <v>23.1</v>
      </c>
      <c r="H39" s="24" t="n">
        <v>24.2</v>
      </c>
      <c r="I39" s="25" t="s">
        <v>84</v>
      </c>
      <c r="J39" s="25" t="s">
        <v>16</v>
      </c>
      <c r="K39" s="25" t="s">
        <v>81</v>
      </c>
      <c r="L39" s="26"/>
      <c r="M39" s="26"/>
    </row>
    <row r="40" customFormat="false" ht="28.35" hidden="false" customHeight="false" outlineLevel="0" collapsed="false">
      <c r="A40" s="23" t="s">
        <v>83</v>
      </c>
      <c r="B40" s="23" t="s">
        <v>72</v>
      </c>
      <c r="C40" s="35" t="n">
        <f aca="false">IFERROR(C38/C39,"")</f>
        <v>1.13333333333333</v>
      </c>
      <c r="D40" s="35" t="n">
        <f aca="false">IFERROR(D38/D39,"")</f>
        <v>1.16417910447761</v>
      </c>
      <c r="E40" s="35" t="n">
        <f aca="false">IFERROR(E38/E39,"")</f>
        <v>1.16431924882629</v>
      </c>
      <c r="F40" s="35" t="n">
        <f aca="false">IFERROR(F38/F39,"")</f>
        <v>1.16517857142857</v>
      </c>
      <c r="G40" s="35" t="n">
        <f aca="false">IFERROR(G38/G39,"")</f>
        <v>1.19047619047619</v>
      </c>
      <c r="H40" s="35" t="n">
        <f aca="false">IFERROR(H38/H39,"")</f>
        <v>1.19421487603306</v>
      </c>
      <c r="I40" s="25" t="s">
        <v>19</v>
      </c>
      <c r="J40" s="25" t="s">
        <v>60</v>
      </c>
      <c r="K40" s="25" t="s">
        <v>61</v>
      </c>
      <c r="L40" s="26"/>
      <c r="M40" s="26"/>
    </row>
    <row r="41" customFormat="false" ht="28.35" hidden="false" customHeight="false" outlineLevel="0" collapsed="false">
      <c r="A41" s="23" t="s">
        <v>83</v>
      </c>
      <c r="B41" s="23" t="s">
        <v>73</v>
      </c>
      <c r="C41" s="24" t="n">
        <v>11.4</v>
      </c>
      <c r="D41" s="24" t="n">
        <v>11.9</v>
      </c>
      <c r="E41" s="24" t="n">
        <v>12.3</v>
      </c>
      <c r="F41" s="24" t="n">
        <v>12.8</v>
      </c>
      <c r="G41" s="24" t="n">
        <v>13.4</v>
      </c>
      <c r="H41" s="24" t="n">
        <v>14.1</v>
      </c>
      <c r="I41" s="25" t="s">
        <v>84</v>
      </c>
      <c r="J41" s="25" t="s">
        <v>16</v>
      </c>
      <c r="K41" s="25" t="s">
        <v>81</v>
      </c>
      <c r="L41" s="26"/>
      <c r="M41" s="26"/>
    </row>
    <row r="42" customFormat="false" ht="28.35" hidden="false" customHeight="false" outlineLevel="0" collapsed="false">
      <c r="A42" s="23" t="s">
        <v>83</v>
      </c>
      <c r="B42" s="23" t="s">
        <v>75</v>
      </c>
      <c r="C42" s="24" t="n">
        <v>0.5</v>
      </c>
      <c r="D42" s="24" t="n">
        <v>0.52</v>
      </c>
      <c r="E42" s="24" t="n">
        <v>0.578</v>
      </c>
      <c r="F42" s="24" t="n">
        <v>0.7</v>
      </c>
      <c r="G42" s="24" t="n">
        <v>0.96</v>
      </c>
      <c r="H42" s="24" t="n">
        <v>0.62</v>
      </c>
      <c r="I42" s="25" t="s">
        <v>84</v>
      </c>
      <c r="J42" s="25" t="s">
        <v>17</v>
      </c>
      <c r="K42" s="25" t="s">
        <v>82</v>
      </c>
      <c r="L42" s="26"/>
      <c r="M42" s="26"/>
    </row>
    <row r="43" customFormat="false" ht="28.35" hidden="false" customHeight="false" outlineLevel="0" collapsed="false">
      <c r="A43" s="23" t="s">
        <v>83</v>
      </c>
      <c r="B43" s="23" t="s">
        <v>77</v>
      </c>
      <c r="C43" s="35" t="n">
        <f aca="false">IFERROR(C32/C42,"")</f>
        <v>8.6</v>
      </c>
      <c r="D43" s="35" t="n">
        <f aca="false">IFERROR(D32/D42,"")</f>
        <v>8.84615384615385</v>
      </c>
      <c r="E43" s="35" t="n">
        <f aca="false">IFERROR(E32/E42,"")</f>
        <v>9.13840830449827</v>
      </c>
      <c r="F43" s="35" t="n">
        <f aca="false">IFERROR(F32/F42,"")</f>
        <v>8.31</v>
      </c>
      <c r="G43" s="35" t="n">
        <f aca="false">IFERROR(G32/G42,"")</f>
        <v>6.48229166666667</v>
      </c>
      <c r="H43" s="35" t="n">
        <f aca="false">IFERROR(H32/H42,"")</f>
        <v>10.3225806451613</v>
      </c>
      <c r="I43" s="25" t="s">
        <v>19</v>
      </c>
      <c r="J43" s="25" t="s">
        <v>60</v>
      </c>
      <c r="K43" s="25" t="s">
        <v>61</v>
      </c>
      <c r="L43" s="26"/>
      <c r="M43" s="26"/>
    </row>
    <row r="44" customFormat="false" ht="28.35" hidden="false" customHeight="false" outlineLevel="0" collapsed="false">
      <c r="A44" s="36" t="s">
        <v>85</v>
      </c>
      <c r="B44" s="36" t="s">
        <v>44</v>
      </c>
      <c r="C44" s="37" t="n">
        <v>7.97</v>
      </c>
      <c r="D44" s="37" t="n">
        <v>8.4</v>
      </c>
      <c r="E44" s="37" t="n">
        <v>10.072</v>
      </c>
      <c r="F44" s="37" t="n">
        <v>11.555</v>
      </c>
      <c r="G44" s="37" t="n">
        <v>13.942</v>
      </c>
      <c r="H44" s="37" t="n">
        <v>15.75</v>
      </c>
      <c r="I44" s="38" t="s">
        <v>86</v>
      </c>
      <c r="J44" s="38" t="s">
        <v>46</v>
      </c>
      <c r="K44" s="38" t="s">
        <v>47</v>
      </c>
      <c r="L44" s="26"/>
      <c r="M44" s="26"/>
    </row>
    <row r="45" customFormat="false" ht="41.75" hidden="false" customHeight="false" outlineLevel="0" collapsed="false">
      <c r="A45" s="23" t="s">
        <v>85</v>
      </c>
      <c r="B45" s="23" t="s">
        <v>49</v>
      </c>
      <c r="C45" s="28" t="s">
        <v>50</v>
      </c>
      <c r="D45" s="28" t="n">
        <f aca="false">IFERROR(D44/C44-1,"")</f>
        <v>0.053952321204517</v>
      </c>
      <c r="E45" s="28" t="n">
        <f aca="false">IFERROR(E44/D44-1,"")</f>
        <v>0.199047619047619</v>
      </c>
      <c r="F45" s="28" t="n">
        <f aca="false">IFERROR(F44/E44-1,"")</f>
        <v>0.147239872915012</v>
      </c>
      <c r="G45" s="28" t="n">
        <f aca="false">IFERROR(G44/F44-1,"")</f>
        <v>0.20657723929035</v>
      </c>
      <c r="H45" s="28" t="s">
        <v>51</v>
      </c>
      <c r="I45" s="25" t="s">
        <v>19</v>
      </c>
      <c r="J45" s="25" t="s">
        <v>52</v>
      </c>
      <c r="K45" s="25" t="s">
        <v>53</v>
      </c>
      <c r="L45" s="26"/>
      <c r="M45" s="26"/>
    </row>
    <row r="46" customFormat="false" ht="28.35" hidden="false" customHeight="false" outlineLevel="0" collapsed="false">
      <c r="A46" s="23" t="s">
        <v>85</v>
      </c>
      <c r="B46" s="23" t="s">
        <v>87</v>
      </c>
      <c r="C46" s="24" t="n">
        <v>1.4</v>
      </c>
      <c r="D46" s="24" t="n">
        <v>1.55</v>
      </c>
      <c r="E46" s="24" t="n">
        <v>1.482</v>
      </c>
      <c r="F46" s="24" t="n">
        <v>2.256</v>
      </c>
      <c r="G46" s="24" t="n">
        <v>2.51</v>
      </c>
      <c r="H46" s="24" t="n">
        <v>3.1</v>
      </c>
      <c r="I46" s="25" t="s">
        <v>86</v>
      </c>
      <c r="J46" s="25" t="s">
        <v>88</v>
      </c>
      <c r="K46" s="25" t="s">
        <v>89</v>
      </c>
      <c r="L46" s="26"/>
      <c r="M46" s="26"/>
    </row>
    <row r="47" customFormat="false" ht="28.35" hidden="false" customHeight="false" outlineLevel="0" collapsed="false">
      <c r="A47" s="23" t="s">
        <v>85</v>
      </c>
      <c r="B47" s="23" t="s">
        <v>56</v>
      </c>
      <c r="C47" s="24" t="n">
        <v>0.9</v>
      </c>
      <c r="D47" s="24" t="n">
        <v>1.05</v>
      </c>
      <c r="E47" s="24" t="n">
        <v>0.97</v>
      </c>
      <c r="F47" s="24" t="n">
        <v>1.463</v>
      </c>
      <c r="G47" s="24" t="n">
        <v>1.494</v>
      </c>
      <c r="H47" s="24" t="n">
        <v>2.2</v>
      </c>
      <c r="I47" s="25" t="s">
        <v>86</v>
      </c>
      <c r="J47" s="25" t="s">
        <v>46</v>
      </c>
      <c r="K47" s="25" t="s">
        <v>47</v>
      </c>
      <c r="L47" s="26"/>
      <c r="M47" s="26"/>
    </row>
    <row r="48" customFormat="false" ht="28.35" hidden="false" customHeight="false" outlineLevel="0" collapsed="false">
      <c r="A48" s="23" t="s">
        <v>85</v>
      </c>
      <c r="B48" s="23" t="s">
        <v>59</v>
      </c>
      <c r="C48" s="28" t="n">
        <f aca="false">IFERROR(C47/C44,"")</f>
        <v>0.112923462986198</v>
      </c>
      <c r="D48" s="28" t="n">
        <f aca="false">IFERROR(D47/D44,"")</f>
        <v>0.125</v>
      </c>
      <c r="E48" s="28" t="n">
        <f aca="false">IFERROR(E47/E44,"")</f>
        <v>0.096306592533757</v>
      </c>
      <c r="F48" s="28" t="n">
        <f aca="false">IFERROR(F47/F44,"")</f>
        <v>0.126611856339247</v>
      </c>
      <c r="G48" s="28" t="n">
        <f aca="false">IFERROR(G47/G44,"")</f>
        <v>0.107158226940181</v>
      </c>
      <c r="H48" s="28" t="n">
        <f aca="false">IFERROR(H47/H44,"")</f>
        <v>0.13968253968254</v>
      </c>
      <c r="I48" s="25" t="s">
        <v>19</v>
      </c>
      <c r="J48" s="25" t="s">
        <v>60</v>
      </c>
      <c r="K48" s="25" t="s">
        <v>61</v>
      </c>
      <c r="L48" s="26"/>
      <c r="M48" s="26"/>
    </row>
    <row r="49" customFormat="false" ht="28.35" hidden="false" customHeight="false" outlineLevel="0" collapsed="false">
      <c r="A49" s="23" t="s">
        <v>85</v>
      </c>
      <c r="B49" s="23" t="s">
        <v>62</v>
      </c>
      <c r="C49" s="24" t="n">
        <v>1.25</v>
      </c>
      <c r="D49" s="24" t="n">
        <v>1.4</v>
      </c>
      <c r="E49" s="24" t="n">
        <v>1.7</v>
      </c>
      <c r="F49" s="24" t="n">
        <v>1.7</v>
      </c>
      <c r="G49" s="24" t="n">
        <v>2.4</v>
      </c>
      <c r="H49" s="24" t="n">
        <v>2.85</v>
      </c>
      <c r="I49" s="25" t="s">
        <v>90</v>
      </c>
      <c r="J49" s="25" t="s">
        <v>16</v>
      </c>
      <c r="K49" s="25" t="s">
        <v>80</v>
      </c>
      <c r="L49" s="26"/>
      <c r="M49" s="26"/>
    </row>
    <row r="50" customFormat="false" ht="28.35" hidden="false" customHeight="false" outlineLevel="0" collapsed="false">
      <c r="A50" s="23" t="s">
        <v>85</v>
      </c>
      <c r="B50" s="23" t="s">
        <v>64</v>
      </c>
      <c r="C50" s="24" t="n">
        <v>0.15</v>
      </c>
      <c r="D50" s="24" t="n">
        <v>0.18</v>
      </c>
      <c r="E50" s="24" t="n">
        <v>0.22</v>
      </c>
      <c r="F50" s="24" t="n">
        <v>0.22</v>
      </c>
      <c r="G50" s="24" t="n">
        <v>0.3</v>
      </c>
      <c r="H50" s="24" t="n">
        <v>0.35</v>
      </c>
      <c r="I50" s="25" t="s">
        <v>90</v>
      </c>
      <c r="J50" s="25" t="s">
        <v>16</v>
      </c>
      <c r="K50" s="25" t="s">
        <v>80</v>
      </c>
      <c r="L50" s="26"/>
      <c r="M50" s="26"/>
    </row>
    <row r="51" customFormat="false" ht="28.35" hidden="false" customHeight="false" outlineLevel="0" collapsed="false">
      <c r="A51" s="23" t="s">
        <v>85</v>
      </c>
      <c r="B51" s="23" t="s">
        <v>66</v>
      </c>
      <c r="C51" s="33" t="n">
        <f aca="false">IFERROR(C49-C50,"")</f>
        <v>1.1</v>
      </c>
      <c r="D51" s="33" t="n">
        <f aca="false">IFERROR(D49-D50,"")</f>
        <v>1.22</v>
      </c>
      <c r="E51" s="33" t="n">
        <f aca="false">IFERROR(E49-E50,"")</f>
        <v>1.48</v>
      </c>
      <c r="F51" s="33" t="n">
        <f aca="false">IFERROR(F49-F50,"")</f>
        <v>1.48</v>
      </c>
      <c r="G51" s="33" t="n">
        <f aca="false">IFERROR(G49-G50,"")</f>
        <v>2.1</v>
      </c>
      <c r="H51" s="33" t="n">
        <f aca="false">IFERROR(H49-H50,"")</f>
        <v>2.5</v>
      </c>
      <c r="I51" s="25" t="s">
        <v>19</v>
      </c>
      <c r="J51" s="25" t="s">
        <v>60</v>
      </c>
      <c r="K51" s="25" t="s">
        <v>61</v>
      </c>
      <c r="L51" s="26"/>
      <c r="M51" s="26"/>
    </row>
    <row r="52" customFormat="false" ht="28.35" hidden="false" customHeight="false" outlineLevel="0" collapsed="false">
      <c r="A52" s="23" t="s">
        <v>85</v>
      </c>
      <c r="B52" s="23" t="s">
        <v>67</v>
      </c>
      <c r="C52" s="24" t="n">
        <v>10.2</v>
      </c>
      <c r="D52" s="24" t="n">
        <v>11.4</v>
      </c>
      <c r="E52" s="24" t="n">
        <v>12.8</v>
      </c>
      <c r="F52" s="24" t="n">
        <v>14.1</v>
      </c>
      <c r="G52" s="24" t="n">
        <v>16.5</v>
      </c>
      <c r="H52" s="24" t="n">
        <v>18.2</v>
      </c>
      <c r="I52" s="25" t="s">
        <v>90</v>
      </c>
      <c r="J52" s="25" t="s">
        <v>16</v>
      </c>
      <c r="K52" s="25" t="s">
        <v>81</v>
      </c>
      <c r="L52" s="26"/>
      <c r="M52" s="26"/>
    </row>
    <row r="53" customFormat="false" ht="28.35" hidden="false" customHeight="false" outlineLevel="0" collapsed="false">
      <c r="A53" s="23" t="s">
        <v>85</v>
      </c>
      <c r="B53" s="23" t="s">
        <v>70</v>
      </c>
      <c r="C53" s="24" t="n">
        <v>8.5</v>
      </c>
      <c r="D53" s="24" t="n">
        <v>9.2</v>
      </c>
      <c r="E53" s="24" t="n">
        <v>10.4</v>
      </c>
      <c r="F53" s="24" t="n">
        <v>11.5</v>
      </c>
      <c r="G53" s="24" t="n">
        <v>13.2</v>
      </c>
      <c r="H53" s="24" t="n">
        <v>14.6</v>
      </c>
      <c r="I53" s="25" t="s">
        <v>90</v>
      </c>
      <c r="J53" s="25" t="s">
        <v>16</v>
      </c>
      <c r="K53" s="25" t="s">
        <v>81</v>
      </c>
      <c r="L53" s="26"/>
      <c r="M53" s="26"/>
    </row>
    <row r="54" customFormat="false" ht="28.35" hidden="false" customHeight="false" outlineLevel="0" collapsed="false">
      <c r="A54" s="23" t="s">
        <v>85</v>
      </c>
      <c r="B54" s="23" t="s">
        <v>72</v>
      </c>
      <c r="C54" s="35" t="n">
        <f aca="false">IFERROR(C52/C53,"")</f>
        <v>1.2</v>
      </c>
      <c r="D54" s="35" t="n">
        <f aca="false">IFERROR(D52/D53,"")</f>
        <v>1.23913043478261</v>
      </c>
      <c r="E54" s="35" t="n">
        <f aca="false">IFERROR(E52/E53,"")</f>
        <v>1.23076923076923</v>
      </c>
      <c r="F54" s="35" t="n">
        <f aca="false">IFERROR(F52/F53,"")</f>
        <v>1.22608695652174</v>
      </c>
      <c r="G54" s="35" t="n">
        <f aca="false">IFERROR(G52/G53,"")</f>
        <v>1.25</v>
      </c>
      <c r="H54" s="35" t="n">
        <f aca="false">IFERROR(H52/H53,"")</f>
        <v>1.24657534246575</v>
      </c>
      <c r="I54" s="25" t="s">
        <v>19</v>
      </c>
      <c r="J54" s="25" t="s">
        <v>60</v>
      </c>
      <c r="K54" s="25" t="s">
        <v>61</v>
      </c>
      <c r="L54" s="26"/>
      <c r="M54" s="26"/>
    </row>
    <row r="55" customFormat="false" ht="28.35" hidden="false" customHeight="false" outlineLevel="0" collapsed="false">
      <c r="A55" s="23" t="s">
        <v>85</v>
      </c>
      <c r="B55" s="23" t="s">
        <v>73</v>
      </c>
      <c r="C55" s="24" t="n">
        <v>5.1</v>
      </c>
      <c r="D55" s="24" t="n">
        <v>5.4</v>
      </c>
      <c r="E55" s="24" t="n">
        <v>6.2</v>
      </c>
      <c r="F55" s="24" t="n">
        <v>6.8</v>
      </c>
      <c r="G55" s="24" t="n">
        <v>7.9</v>
      </c>
      <c r="H55" s="24" t="n">
        <v>8.7</v>
      </c>
      <c r="I55" s="25" t="s">
        <v>90</v>
      </c>
      <c r="J55" s="25" t="s">
        <v>16</v>
      </c>
      <c r="K55" s="25" t="s">
        <v>81</v>
      </c>
      <c r="L55" s="26"/>
      <c r="M55" s="26"/>
    </row>
    <row r="56" customFormat="false" ht="28.35" hidden="false" customHeight="false" outlineLevel="0" collapsed="false">
      <c r="A56" s="23" t="s">
        <v>85</v>
      </c>
      <c r="B56" s="23" t="s">
        <v>75</v>
      </c>
      <c r="C56" s="24" t="n">
        <v>0.2</v>
      </c>
      <c r="D56" s="24" t="n">
        <v>0.22</v>
      </c>
      <c r="E56" s="24" t="n">
        <v>0.25</v>
      </c>
      <c r="F56" s="24" t="n">
        <v>0.381</v>
      </c>
      <c r="G56" s="24" t="n">
        <v>0.639</v>
      </c>
      <c r="H56" s="24" t="n">
        <v>0.36</v>
      </c>
      <c r="I56" s="25" t="s">
        <v>86</v>
      </c>
      <c r="J56" s="25" t="s">
        <v>17</v>
      </c>
      <c r="K56" s="25" t="s">
        <v>82</v>
      </c>
      <c r="L56" s="26"/>
      <c r="M56" s="26"/>
    </row>
    <row r="57" customFormat="false" ht="28.35" hidden="false" customHeight="false" outlineLevel="0" collapsed="false">
      <c r="A57" s="23" t="s">
        <v>85</v>
      </c>
      <c r="B57" s="23" t="s">
        <v>77</v>
      </c>
      <c r="C57" s="35" t="n">
        <f aca="false">IFERROR(C46/C56,"")</f>
        <v>7</v>
      </c>
      <c r="D57" s="35" t="n">
        <f aca="false">IFERROR(D46/D56,"")</f>
        <v>7.04545454545455</v>
      </c>
      <c r="E57" s="35" t="n">
        <f aca="false">IFERROR(E46/E56,"")</f>
        <v>5.928</v>
      </c>
      <c r="F57" s="35" t="n">
        <f aca="false">IFERROR(F46/F56,"")</f>
        <v>5.92125984251968</v>
      </c>
      <c r="G57" s="35" t="n">
        <f aca="false">IFERROR(G46/G56,"")</f>
        <v>3.92801251956181</v>
      </c>
      <c r="H57" s="35" t="n">
        <f aca="false">IFERROR(H46/H56,"")</f>
        <v>8.61111111111111</v>
      </c>
      <c r="I57" s="25" t="s">
        <v>19</v>
      </c>
      <c r="J57" s="25" t="s">
        <v>60</v>
      </c>
      <c r="K57" s="25" t="s">
        <v>61</v>
      </c>
      <c r="L57" s="26"/>
      <c r="M57" s="26"/>
    </row>
    <row r="58" customFormat="false" ht="28.35" hidden="false" customHeight="false" outlineLevel="0" collapsed="false">
      <c r="A58" s="36" t="s">
        <v>91</v>
      </c>
      <c r="B58" s="36" t="s">
        <v>44</v>
      </c>
      <c r="C58" s="37" t="n">
        <v>3.05</v>
      </c>
      <c r="D58" s="37" t="n">
        <v>3.5</v>
      </c>
      <c r="E58" s="37" t="n">
        <v>4.257</v>
      </c>
      <c r="F58" s="37" t="n">
        <v>4.805</v>
      </c>
      <c r="G58" s="37" t="n">
        <v>5.902</v>
      </c>
      <c r="H58" s="37" t="n">
        <v>6.66</v>
      </c>
      <c r="I58" s="38" t="s">
        <v>92</v>
      </c>
      <c r="J58" s="38" t="s">
        <v>46</v>
      </c>
      <c r="K58" s="38" t="s">
        <v>47</v>
      </c>
      <c r="L58" s="26"/>
      <c r="M58" s="26"/>
    </row>
    <row r="59" customFormat="false" ht="41.75" hidden="false" customHeight="false" outlineLevel="0" collapsed="false">
      <c r="A59" s="23" t="s">
        <v>91</v>
      </c>
      <c r="B59" s="23" t="s">
        <v>49</v>
      </c>
      <c r="C59" s="28" t="s">
        <v>50</v>
      </c>
      <c r="D59" s="28" t="n">
        <f aca="false">IFERROR(D58/C58-1,"")</f>
        <v>0.147540983606558</v>
      </c>
      <c r="E59" s="28" t="n">
        <f aca="false">IFERROR(E58/D58-1,"")</f>
        <v>0.216285714285714</v>
      </c>
      <c r="F59" s="28" t="n">
        <f aca="false">IFERROR(F58/E58-1,"")</f>
        <v>0.128729151984966</v>
      </c>
      <c r="G59" s="28" t="n">
        <f aca="false">IFERROR(G58/F58-1,"")</f>
        <v>0.228303850156087</v>
      </c>
      <c r="H59" s="28" t="s">
        <v>51</v>
      </c>
      <c r="I59" s="25" t="s">
        <v>19</v>
      </c>
      <c r="J59" s="25" t="s">
        <v>52</v>
      </c>
      <c r="K59" s="25" t="s">
        <v>53</v>
      </c>
      <c r="L59" s="26"/>
      <c r="M59" s="26"/>
    </row>
    <row r="60" customFormat="false" ht="28.35" hidden="false" customHeight="false" outlineLevel="0" collapsed="false">
      <c r="A60" s="23" t="s">
        <v>91</v>
      </c>
      <c r="B60" s="23" t="s">
        <v>87</v>
      </c>
      <c r="C60" s="24" t="n">
        <v>0.75</v>
      </c>
      <c r="D60" s="24" t="n">
        <v>0.9</v>
      </c>
      <c r="E60" s="24" t="n">
        <v>1.336</v>
      </c>
      <c r="F60" s="24" t="n">
        <v>1.496</v>
      </c>
      <c r="G60" s="24" t="n">
        <v>1.668</v>
      </c>
      <c r="H60" s="24" t="n">
        <v>1.85</v>
      </c>
      <c r="I60" s="25" t="s">
        <v>92</v>
      </c>
      <c r="J60" s="25" t="s">
        <v>88</v>
      </c>
      <c r="K60" s="25" t="s">
        <v>89</v>
      </c>
      <c r="L60" s="26"/>
      <c r="M60" s="26"/>
    </row>
    <row r="61" customFormat="false" ht="28.35" hidden="false" customHeight="false" outlineLevel="0" collapsed="false">
      <c r="A61" s="23" t="s">
        <v>91</v>
      </c>
      <c r="B61" s="23" t="s">
        <v>56</v>
      </c>
      <c r="C61" s="24" t="n">
        <v>0.55</v>
      </c>
      <c r="D61" s="24" t="n">
        <v>0.65</v>
      </c>
      <c r="E61" s="24" t="n">
        <v>0.871</v>
      </c>
      <c r="F61" s="24" t="n">
        <v>0.993</v>
      </c>
      <c r="G61" s="24" t="n">
        <v>1.054</v>
      </c>
      <c r="H61" s="24" t="n">
        <v>1.3</v>
      </c>
      <c r="I61" s="25" t="s">
        <v>92</v>
      </c>
      <c r="J61" s="25" t="s">
        <v>46</v>
      </c>
      <c r="K61" s="25" t="s">
        <v>47</v>
      </c>
      <c r="L61" s="26"/>
      <c r="M61" s="26"/>
    </row>
    <row r="62" customFormat="false" ht="28.35" hidden="false" customHeight="false" outlineLevel="0" collapsed="false">
      <c r="A62" s="23" t="s">
        <v>91</v>
      </c>
      <c r="B62" s="23" t="s">
        <v>59</v>
      </c>
      <c r="C62" s="28" t="n">
        <f aca="false">IFERROR(C61/C58,"")</f>
        <v>0.180327868852459</v>
      </c>
      <c r="D62" s="28" t="n">
        <f aca="false">IFERROR(D61/D58,"")</f>
        <v>0.185714285714286</v>
      </c>
      <c r="E62" s="28" t="n">
        <f aca="false">IFERROR(E61/E58,"")</f>
        <v>0.204604181348367</v>
      </c>
      <c r="F62" s="28" t="n">
        <f aca="false">IFERROR(F61/F58,"")</f>
        <v>0.206659729448491</v>
      </c>
      <c r="G62" s="28" t="n">
        <f aca="false">IFERROR(G61/G58,"")</f>
        <v>0.178583531006439</v>
      </c>
      <c r="H62" s="28" t="n">
        <f aca="false">IFERROR(H61/H58,"")</f>
        <v>0.195195195195195</v>
      </c>
      <c r="I62" s="25" t="s">
        <v>19</v>
      </c>
      <c r="J62" s="25" t="s">
        <v>60</v>
      </c>
      <c r="K62" s="25" t="s">
        <v>61</v>
      </c>
      <c r="L62" s="26"/>
      <c r="M62" s="26"/>
    </row>
    <row r="63" customFormat="false" ht="28.35" hidden="false" customHeight="false" outlineLevel="0" collapsed="false">
      <c r="A63" s="23" t="s">
        <v>91</v>
      </c>
      <c r="B63" s="23" t="s">
        <v>62</v>
      </c>
      <c r="C63" s="24" t="n">
        <v>0.7</v>
      </c>
      <c r="D63" s="24" t="n">
        <v>0.82</v>
      </c>
      <c r="E63" s="24" t="n">
        <v>0.95</v>
      </c>
      <c r="F63" s="24" t="n">
        <v>1.05</v>
      </c>
      <c r="G63" s="24" t="n">
        <v>1.4</v>
      </c>
      <c r="H63" s="24" t="n">
        <v>1.65</v>
      </c>
      <c r="I63" s="25" t="s">
        <v>92</v>
      </c>
      <c r="J63" s="25" t="s">
        <v>16</v>
      </c>
      <c r="K63" s="25" t="s">
        <v>80</v>
      </c>
      <c r="L63" s="26"/>
      <c r="M63" s="26"/>
    </row>
    <row r="64" customFormat="false" ht="28.35" hidden="false" customHeight="false" outlineLevel="0" collapsed="false">
      <c r="A64" s="23" t="s">
        <v>91</v>
      </c>
      <c r="B64" s="23" t="s">
        <v>64</v>
      </c>
      <c r="C64" s="24" t="n">
        <v>0.05</v>
      </c>
      <c r="D64" s="24" t="n">
        <v>0.06</v>
      </c>
      <c r="E64" s="24" t="n">
        <v>0.07</v>
      </c>
      <c r="F64" s="24" t="n">
        <v>0.08</v>
      </c>
      <c r="G64" s="24" t="n">
        <v>0.11</v>
      </c>
      <c r="H64" s="24" t="n">
        <v>0.13</v>
      </c>
      <c r="I64" s="25" t="s">
        <v>92</v>
      </c>
      <c r="J64" s="25" t="s">
        <v>16</v>
      </c>
      <c r="K64" s="25" t="s">
        <v>80</v>
      </c>
      <c r="L64" s="26"/>
      <c r="M64" s="26"/>
    </row>
    <row r="65" customFormat="false" ht="28.35" hidden="false" customHeight="false" outlineLevel="0" collapsed="false">
      <c r="A65" s="23" t="s">
        <v>91</v>
      </c>
      <c r="B65" s="23" t="s">
        <v>66</v>
      </c>
      <c r="C65" s="33" t="n">
        <f aca="false">IFERROR(C63-C64,"")</f>
        <v>0.65</v>
      </c>
      <c r="D65" s="33" t="n">
        <f aca="false">IFERROR(D63-D64,"")</f>
        <v>0.76</v>
      </c>
      <c r="E65" s="33" t="n">
        <f aca="false">IFERROR(E63-E64,"")</f>
        <v>0.88</v>
      </c>
      <c r="F65" s="33" t="n">
        <f aca="false">IFERROR(F63-F64,"")</f>
        <v>0.97</v>
      </c>
      <c r="G65" s="33" t="n">
        <f aca="false">IFERROR(G63-G64,"")</f>
        <v>1.29</v>
      </c>
      <c r="H65" s="33" t="n">
        <f aca="false">IFERROR(H63-H64,"")</f>
        <v>1.52</v>
      </c>
      <c r="I65" s="25" t="s">
        <v>19</v>
      </c>
      <c r="J65" s="25" t="s">
        <v>60</v>
      </c>
      <c r="K65" s="25" t="s">
        <v>61</v>
      </c>
      <c r="L65" s="26"/>
      <c r="M65" s="26"/>
    </row>
    <row r="66" customFormat="false" ht="28.35" hidden="false" customHeight="false" outlineLevel="0" collapsed="false">
      <c r="A66" s="23" t="s">
        <v>91</v>
      </c>
      <c r="B66" s="23" t="s">
        <v>67</v>
      </c>
      <c r="C66" s="24" t="n">
        <v>5.2</v>
      </c>
      <c r="D66" s="24" t="n">
        <v>5.8</v>
      </c>
      <c r="E66" s="24" t="n">
        <v>6.4</v>
      </c>
      <c r="F66" s="24" t="n">
        <v>7.1</v>
      </c>
      <c r="G66" s="24" t="n">
        <v>8.9</v>
      </c>
      <c r="H66" s="24" t="n">
        <v>9.8</v>
      </c>
      <c r="I66" s="25" t="s">
        <v>92</v>
      </c>
      <c r="J66" s="25" t="s">
        <v>16</v>
      </c>
      <c r="K66" s="25" t="s">
        <v>81</v>
      </c>
      <c r="L66" s="26"/>
      <c r="M66" s="26"/>
    </row>
    <row r="67" customFormat="false" ht="28.35" hidden="false" customHeight="false" outlineLevel="0" collapsed="false">
      <c r="A67" s="23" t="s">
        <v>91</v>
      </c>
      <c r="B67" s="23" t="s">
        <v>70</v>
      </c>
      <c r="C67" s="24" t="n">
        <v>3.8</v>
      </c>
      <c r="D67" s="24" t="n">
        <v>4.2</v>
      </c>
      <c r="E67" s="24" t="n">
        <v>4.6</v>
      </c>
      <c r="F67" s="24" t="n">
        <v>5.1</v>
      </c>
      <c r="G67" s="24" t="n">
        <v>6.3</v>
      </c>
      <c r="H67" s="24" t="n">
        <v>6.9</v>
      </c>
      <c r="I67" s="25" t="s">
        <v>92</v>
      </c>
      <c r="J67" s="25" t="s">
        <v>16</v>
      </c>
      <c r="K67" s="25" t="s">
        <v>81</v>
      </c>
      <c r="L67" s="26"/>
      <c r="M67" s="26"/>
    </row>
    <row r="68" customFormat="false" ht="28.35" hidden="false" customHeight="false" outlineLevel="0" collapsed="false">
      <c r="A68" s="23" t="s">
        <v>91</v>
      </c>
      <c r="B68" s="23" t="s">
        <v>72</v>
      </c>
      <c r="C68" s="35" t="n">
        <f aca="false">IFERROR(C66/C67,"")</f>
        <v>1.36842105263158</v>
      </c>
      <c r="D68" s="35" t="n">
        <f aca="false">IFERROR(D66/D67,"")</f>
        <v>1.38095238095238</v>
      </c>
      <c r="E68" s="35" t="n">
        <f aca="false">IFERROR(E66/E67,"")</f>
        <v>1.39130434782609</v>
      </c>
      <c r="F68" s="35" t="n">
        <f aca="false">IFERROR(F66/F67,"")</f>
        <v>1.3921568627451</v>
      </c>
      <c r="G68" s="35" t="n">
        <f aca="false">IFERROR(G66/G67,"")</f>
        <v>1.41269841269841</v>
      </c>
      <c r="H68" s="35" t="n">
        <f aca="false">IFERROR(H66/H67,"")</f>
        <v>1.42028985507246</v>
      </c>
      <c r="I68" s="25" t="s">
        <v>19</v>
      </c>
      <c r="J68" s="25" t="s">
        <v>60</v>
      </c>
      <c r="K68" s="25" t="s">
        <v>61</v>
      </c>
      <c r="L68" s="26"/>
      <c r="M68" s="26"/>
    </row>
    <row r="69" customFormat="false" ht="28.35" hidden="false" customHeight="false" outlineLevel="0" collapsed="false">
      <c r="A69" s="23" t="s">
        <v>91</v>
      </c>
      <c r="B69" s="23" t="s">
        <v>73</v>
      </c>
      <c r="C69" s="24" t="n">
        <v>2.8</v>
      </c>
      <c r="D69" s="24" t="n">
        <v>3.1</v>
      </c>
      <c r="E69" s="24" t="n">
        <v>3.4</v>
      </c>
      <c r="F69" s="24" t="n">
        <v>3.7</v>
      </c>
      <c r="G69" s="24" t="n">
        <v>4.5</v>
      </c>
      <c r="H69" s="24" t="n">
        <v>4.9</v>
      </c>
      <c r="I69" s="25" t="s">
        <v>92</v>
      </c>
      <c r="J69" s="25" t="s">
        <v>16</v>
      </c>
      <c r="K69" s="25" t="s">
        <v>81</v>
      </c>
      <c r="L69" s="26"/>
      <c r="M69" s="26"/>
    </row>
    <row r="70" customFormat="false" ht="28.35" hidden="false" customHeight="false" outlineLevel="0" collapsed="false">
      <c r="A70" s="23" t="s">
        <v>91</v>
      </c>
      <c r="B70" s="23" t="s">
        <v>75</v>
      </c>
      <c r="C70" s="24" t="n">
        <v>0.1</v>
      </c>
      <c r="D70" s="24" t="n">
        <v>0.11</v>
      </c>
      <c r="E70" s="24" t="n">
        <v>0.19</v>
      </c>
      <c r="F70" s="24" t="n">
        <v>0.193</v>
      </c>
      <c r="G70" s="24" t="n">
        <v>0.297</v>
      </c>
      <c r="H70" s="24" t="n">
        <v>0.17</v>
      </c>
      <c r="I70" s="25" t="s">
        <v>92</v>
      </c>
      <c r="J70" s="25" t="s">
        <v>17</v>
      </c>
      <c r="K70" s="25" t="s">
        <v>82</v>
      </c>
      <c r="L70" s="26"/>
      <c r="M70" s="26"/>
    </row>
    <row r="71" customFormat="false" ht="28.35" hidden="false" customHeight="false" outlineLevel="0" collapsed="false">
      <c r="A71" s="23" t="s">
        <v>91</v>
      </c>
      <c r="B71" s="23" t="s">
        <v>77</v>
      </c>
      <c r="C71" s="35" t="n">
        <f aca="false">IFERROR(C60/C70,"")</f>
        <v>7.5</v>
      </c>
      <c r="D71" s="35" t="n">
        <f aca="false">IFERROR(D60/D70,"")</f>
        <v>8.18181818181818</v>
      </c>
      <c r="E71" s="35" t="n">
        <f aca="false">IFERROR(E60/E70,"")</f>
        <v>7.03157894736842</v>
      </c>
      <c r="F71" s="35" t="n">
        <f aca="false">IFERROR(F60/F70,"")</f>
        <v>7.75129533678757</v>
      </c>
      <c r="G71" s="35" t="n">
        <f aca="false">IFERROR(G60/G70,"")</f>
        <v>5.61616161616162</v>
      </c>
      <c r="H71" s="35" t="n">
        <f aca="false">IFERROR(H60/H70,"")</f>
        <v>10.8823529411765</v>
      </c>
      <c r="I71" s="25" t="s">
        <v>19</v>
      </c>
      <c r="J71" s="25" t="s">
        <v>60</v>
      </c>
      <c r="K71" s="25" t="s">
        <v>61</v>
      </c>
      <c r="L71" s="26"/>
      <c r="M71" s="26"/>
    </row>
  </sheetData>
  <autoFilter ref="A1:M71"/>
  <conditionalFormatting sqref="J2:J71">
    <cfRule type="expression" priority="2" aboveAverage="0" equalAverage="0" bottom="0" percent="0" rank="0" text="" dxfId="2">
      <formula>LEFT($J2,12)="Needs review"</formula>
    </cfRule>
    <cfRule type="expression" priority="3" aboveAverage="0" equalAverage="0" bottom="0" percent="0" rank="0" text="" dxfId="1">
      <formula>LEFT($J2,18)="Partially verified"</formula>
    </cfRule>
    <cfRule type="expression" priority="4" aboveAverage="0" equalAverage="0" bottom="0" percent="0" rank="0" text="" dxfId="12">
      <formula>LEFT($J2,7)="Derived"</formula>
    </cfRule>
    <cfRule type="expression" priority="5" aboveAverage="0" equalAverage="0" bottom="0" percent="0" rank="0" text="" dxfId="13">
      <formula>LEFT($J2,10)="Calculated"</formula>
    </cfRule>
    <cfRule type="expression" priority="6" aboveAverage="0" equalAverage="0" bottom="0" percent="0" rank="0" text="" dxfId="0">
      <formula>LEFT($J2,8)="Verified"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A1:N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22" width="12"/>
    <col collapsed="false" customWidth="true" hidden="false" outlineLevel="0" max="2" min="2" style="22" width="16"/>
    <col collapsed="false" customWidth="true" hidden="false" outlineLevel="0" max="3" min="3" style="22" width="15"/>
    <col collapsed="false" customWidth="true" hidden="false" outlineLevel="0" max="4" min="4" style="22" width="32"/>
    <col collapsed="false" customWidth="true" hidden="false" outlineLevel="0" max="6" min="5" style="22" width="36"/>
    <col collapsed="false" customWidth="true" hidden="false" outlineLevel="0" max="7" min="7" style="22" width="55"/>
    <col collapsed="false" customWidth="true" hidden="false" outlineLevel="0" max="8" min="8" style="22" width="16"/>
    <col collapsed="false" customWidth="true" hidden="false" outlineLevel="0" max="11" min="9" style="22" width="55"/>
    <col collapsed="false" customWidth="true" hidden="false" outlineLevel="0" max="12" min="12" style="22" width="12"/>
    <col collapsed="false" customWidth="true" hidden="false" outlineLevel="0" max="13" min="13" style="22" width="37"/>
    <col collapsed="false" customWidth="true" hidden="false" outlineLevel="0" max="14" min="14" style="22" width="12"/>
  </cols>
  <sheetData>
    <row r="1" customFormat="false" ht="31.5" hidden="false" customHeight="true" outlineLevel="0" collapsed="false">
      <c r="A1" s="3" t="s">
        <v>2</v>
      </c>
      <c r="B1" s="3" t="s">
        <v>93</v>
      </c>
      <c r="C1" s="3" t="s">
        <v>94</v>
      </c>
      <c r="D1" s="3" t="s">
        <v>95</v>
      </c>
      <c r="E1" s="3" t="s">
        <v>96</v>
      </c>
      <c r="F1" s="3" t="s">
        <v>97</v>
      </c>
      <c r="G1" s="3" t="s">
        <v>98</v>
      </c>
      <c r="H1" s="3" t="s">
        <v>99</v>
      </c>
      <c r="I1" s="3" t="s">
        <v>100</v>
      </c>
      <c r="J1" s="3" t="s">
        <v>101</v>
      </c>
      <c r="K1" s="3" t="s">
        <v>102</v>
      </c>
      <c r="L1" s="3"/>
      <c r="M1" s="3" t="s">
        <v>103</v>
      </c>
      <c r="N1" s="3" t="s">
        <v>104</v>
      </c>
    </row>
    <row r="2" customFormat="false" ht="41.25" hidden="false" customHeight="true" outlineLevel="0" collapsed="false">
      <c r="A2" s="23" t="s">
        <v>43</v>
      </c>
      <c r="B2" s="23" t="s">
        <v>105</v>
      </c>
      <c r="C2" s="39" t="n">
        <v>0</v>
      </c>
      <c r="D2" s="40" t="n">
        <f aca="false">Financial_Metrics!G2*(1+C2)</f>
        <v>9.708</v>
      </c>
      <c r="E2" s="40" t="n">
        <f aca="false">Financial_Metrics!G4*(1+H2*C2)</f>
        <v>2.234</v>
      </c>
      <c r="F2" s="41" t="n">
        <f aca="false">IFERROR(E2/Financial_Metrics!G14,"")</f>
        <v>8.59230769230769</v>
      </c>
      <c r="G2" s="23" t="str">
        <f aca="false">IF(F2="","Not assessed",IF(F2&gt;=$N$3,"Illustrative buffer",IF(F2&gt;=$N$4,"Pressure","High pressure")))</f>
        <v>Illustrative buffer</v>
      </c>
      <c r="H2" s="42" t="n">
        <f aca="false">$N$2</f>
        <v>2.5</v>
      </c>
      <c r="I2" s="25" t="s">
        <v>106</v>
      </c>
      <c r="J2" s="25" t="s">
        <v>107</v>
      </c>
      <c r="K2" s="25" t="s">
        <v>108</v>
      </c>
      <c r="L2" s="26"/>
      <c r="M2" s="25" t="s">
        <v>109</v>
      </c>
      <c r="N2" s="43" t="n">
        <v>2.5</v>
      </c>
    </row>
    <row r="3" customFormat="false" ht="41.25" hidden="false" customHeight="true" outlineLevel="0" collapsed="false">
      <c r="A3" s="23" t="s">
        <v>43</v>
      </c>
      <c r="B3" s="23" t="s">
        <v>110</v>
      </c>
      <c r="C3" s="39" t="n">
        <v>-0.05</v>
      </c>
      <c r="D3" s="40" t="n">
        <f aca="false">Financial_Metrics!G2*(1+C3)</f>
        <v>9.2226</v>
      </c>
      <c r="E3" s="40" t="n">
        <f aca="false">Financial_Metrics!G4*(1+H3*C3)</f>
        <v>1.95475</v>
      </c>
      <c r="F3" s="41" t="n">
        <f aca="false">IFERROR(E3/Financial_Metrics!G14,"")</f>
        <v>7.51826923076923</v>
      </c>
      <c r="G3" s="23" t="str">
        <f aca="false">IF(F3="","Not assessed",IF(F3&gt;=$N$3,"Illustrative buffer",IF(F3&gt;=$N$4,"Pressure","High pressure")))</f>
        <v>Illustrative buffer</v>
      </c>
      <c r="H3" s="42" t="n">
        <f aca="false">$N$2</f>
        <v>2.5</v>
      </c>
      <c r="I3" s="25" t="s">
        <v>106</v>
      </c>
      <c r="J3" s="25" t="s">
        <v>107</v>
      </c>
      <c r="K3" s="25" t="s">
        <v>108</v>
      </c>
      <c r="L3" s="26"/>
      <c r="M3" s="25" t="s">
        <v>111</v>
      </c>
      <c r="N3" s="44" t="n">
        <v>5</v>
      </c>
    </row>
    <row r="4" customFormat="false" ht="41.25" hidden="false" customHeight="true" outlineLevel="0" collapsed="false">
      <c r="A4" s="23" t="s">
        <v>43</v>
      </c>
      <c r="B4" s="23" t="s">
        <v>112</v>
      </c>
      <c r="C4" s="39" t="n">
        <v>-0.1</v>
      </c>
      <c r="D4" s="40" t="n">
        <f aca="false">Financial_Metrics!G2*(1+C4)</f>
        <v>8.7372</v>
      </c>
      <c r="E4" s="40" t="n">
        <f aca="false">Financial_Metrics!G4*(1+H4*C4)</f>
        <v>1.6755</v>
      </c>
      <c r="F4" s="41" t="n">
        <f aca="false">IFERROR(E4/Financial_Metrics!G14,"")</f>
        <v>6.44423076923077</v>
      </c>
      <c r="G4" s="23" t="str">
        <f aca="false">IF(F4="","Not assessed",IF(F4&gt;=$N$3,"Illustrative buffer",IF(F4&gt;=$N$4,"Pressure","High pressure")))</f>
        <v>Illustrative buffer</v>
      </c>
      <c r="H4" s="42" t="n">
        <f aca="false">$N$2</f>
        <v>2.5</v>
      </c>
      <c r="I4" s="25" t="s">
        <v>106</v>
      </c>
      <c r="J4" s="25" t="s">
        <v>107</v>
      </c>
      <c r="K4" s="25" t="s">
        <v>108</v>
      </c>
      <c r="L4" s="26"/>
      <c r="M4" s="25" t="s">
        <v>113</v>
      </c>
      <c r="N4" s="44" t="n">
        <v>2</v>
      </c>
    </row>
    <row r="5" customFormat="false" ht="41.25" hidden="false" customHeight="true" outlineLevel="0" collapsed="false">
      <c r="A5" s="23" t="s">
        <v>43</v>
      </c>
      <c r="B5" s="23" t="s">
        <v>114</v>
      </c>
      <c r="C5" s="39" t="n">
        <v>-0.25</v>
      </c>
      <c r="D5" s="40" t="n">
        <f aca="false">Financial_Metrics!G2*(1+C5)</f>
        <v>7.281</v>
      </c>
      <c r="E5" s="40" t="n">
        <f aca="false">Financial_Metrics!G4*(1+H5*C5)</f>
        <v>0.83775</v>
      </c>
      <c r="F5" s="41" t="n">
        <f aca="false">IFERROR(E5/Financial_Metrics!G14,"")</f>
        <v>3.22211538461538</v>
      </c>
      <c r="G5" s="23" t="str">
        <f aca="false">IF(F5="","Not assessed",IF(F5&gt;=$N$3,"Illustrative buffer",IF(F5&gt;=$N$4,"Pressure","High pressure")))</f>
        <v>Pressure</v>
      </c>
      <c r="H5" s="42" t="n">
        <f aca="false">$N$2</f>
        <v>2.5</v>
      </c>
      <c r="I5" s="25" t="s">
        <v>106</v>
      </c>
      <c r="J5" s="25" t="s">
        <v>107</v>
      </c>
      <c r="K5" s="25" t="s">
        <v>108</v>
      </c>
      <c r="L5" s="26"/>
      <c r="M5" s="26"/>
      <c r="N5" s="26"/>
    </row>
    <row r="6" customFormat="false" ht="41.25" hidden="false" customHeight="true" outlineLevel="0" collapsed="false">
      <c r="A6" s="36" t="s">
        <v>78</v>
      </c>
      <c r="B6" s="36" t="s">
        <v>105</v>
      </c>
      <c r="C6" s="45" t="n">
        <v>0</v>
      </c>
      <c r="D6" s="46" t="n">
        <f aca="false">Financial_Metrics!G16*(1+C6)</f>
        <v>17.181</v>
      </c>
      <c r="E6" s="46" t="n">
        <f aca="false">Financial_Metrics!G18*(1+H6*C6)</f>
        <v>4.344</v>
      </c>
      <c r="F6" s="47" t="n">
        <f aca="false">IFERROR(E6/Financial_Metrics!G28,"")</f>
        <v>5.33006134969325</v>
      </c>
      <c r="G6" s="36" t="str">
        <f aca="false">IF(F6="","Not assessed",IF(F6&gt;=$N$3,"Illustrative buffer",IF(F6&gt;=$N$4,"Pressure","High pressure")))</f>
        <v>Illustrative buffer</v>
      </c>
      <c r="H6" s="48" t="n">
        <f aca="false">$N$2</f>
        <v>2.5</v>
      </c>
      <c r="I6" s="38" t="s">
        <v>106</v>
      </c>
      <c r="J6" s="38" t="s">
        <v>107</v>
      </c>
      <c r="K6" s="38" t="s">
        <v>108</v>
      </c>
      <c r="L6" s="26"/>
      <c r="M6" s="26"/>
      <c r="N6" s="26"/>
    </row>
    <row r="7" customFormat="false" ht="41.25" hidden="false" customHeight="true" outlineLevel="0" collapsed="false">
      <c r="A7" s="23" t="s">
        <v>78</v>
      </c>
      <c r="B7" s="23" t="s">
        <v>110</v>
      </c>
      <c r="C7" s="39" t="n">
        <v>-0.05</v>
      </c>
      <c r="D7" s="40" t="n">
        <f aca="false">Financial_Metrics!G16*(1+C7)</f>
        <v>16.32195</v>
      </c>
      <c r="E7" s="40" t="n">
        <f aca="false">Financial_Metrics!G18*(1+H7*C7)</f>
        <v>3.801</v>
      </c>
      <c r="F7" s="41" t="n">
        <f aca="false">IFERROR(E7/Financial_Metrics!G28,"")</f>
        <v>4.6638036809816</v>
      </c>
      <c r="G7" s="23" t="str">
        <f aca="false">IF(F7="","Not assessed",IF(F7&gt;=$N$3,"Illustrative buffer",IF(F7&gt;=$N$4,"Pressure","High pressure")))</f>
        <v>Pressure</v>
      </c>
      <c r="H7" s="42" t="n">
        <f aca="false">$N$2</f>
        <v>2.5</v>
      </c>
      <c r="I7" s="25" t="s">
        <v>106</v>
      </c>
      <c r="J7" s="25" t="s">
        <v>107</v>
      </c>
      <c r="K7" s="25" t="s">
        <v>108</v>
      </c>
      <c r="L7" s="26"/>
      <c r="M7" s="26"/>
      <c r="N7" s="26"/>
    </row>
    <row r="8" customFormat="false" ht="41.25" hidden="false" customHeight="true" outlineLevel="0" collapsed="false">
      <c r="A8" s="23" t="s">
        <v>78</v>
      </c>
      <c r="B8" s="23" t="s">
        <v>112</v>
      </c>
      <c r="C8" s="39" t="n">
        <v>-0.1</v>
      </c>
      <c r="D8" s="40" t="n">
        <f aca="false">Financial_Metrics!G16*(1+C8)</f>
        <v>15.4629</v>
      </c>
      <c r="E8" s="40" t="n">
        <f aca="false">Financial_Metrics!G18*(1+H8*C8)</f>
        <v>3.258</v>
      </c>
      <c r="F8" s="41" t="n">
        <f aca="false">IFERROR(E8/Financial_Metrics!G28,"")</f>
        <v>3.99754601226994</v>
      </c>
      <c r="G8" s="23" t="str">
        <f aca="false">IF(F8="","Not assessed",IF(F8&gt;=$N$3,"Illustrative buffer",IF(F8&gt;=$N$4,"Pressure","High pressure")))</f>
        <v>Pressure</v>
      </c>
      <c r="H8" s="42" t="n">
        <f aca="false">$N$2</f>
        <v>2.5</v>
      </c>
      <c r="I8" s="25" t="s">
        <v>106</v>
      </c>
      <c r="J8" s="25" t="s">
        <v>107</v>
      </c>
      <c r="K8" s="25" t="s">
        <v>108</v>
      </c>
      <c r="L8" s="26"/>
      <c r="M8" s="26"/>
      <c r="N8" s="26"/>
    </row>
    <row r="9" customFormat="false" ht="41.25" hidden="false" customHeight="true" outlineLevel="0" collapsed="false">
      <c r="A9" s="23" t="s">
        <v>78</v>
      </c>
      <c r="B9" s="23" t="s">
        <v>114</v>
      </c>
      <c r="C9" s="39" t="n">
        <v>-0.25</v>
      </c>
      <c r="D9" s="40" t="n">
        <f aca="false">Financial_Metrics!G16*(1+C9)</f>
        <v>12.88575</v>
      </c>
      <c r="E9" s="40" t="n">
        <f aca="false">Financial_Metrics!G18*(1+H9*C9)</f>
        <v>1.629</v>
      </c>
      <c r="F9" s="41" t="n">
        <f aca="false">IFERROR(E9/Financial_Metrics!G28,"")</f>
        <v>1.99877300613497</v>
      </c>
      <c r="G9" s="23" t="str">
        <f aca="false">IF(F9="","Not assessed",IF(F9&gt;=$N$3,"Illustrative buffer",IF(F9&gt;=$N$4,"Pressure","High pressure")))</f>
        <v>High pressure</v>
      </c>
      <c r="H9" s="42" t="n">
        <f aca="false">$N$2</f>
        <v>2.5</v>
      </c>
      <c r="I9" s="25" t="s">
        <v>106</v>
      </c>
      <c r="J9" s="25" t="s">
        <v>107</v>
      </c>
      <c r="K9" s="25" t="s">
        <v>108</v>
      </c>
      <c r="L9" s="26"/>
      <c r="M9" s="26"/>
      <c r="N9" s="26"/>
    </row>
    <row r="10" customFormat="false" ht="41.25" hidden="false" customHeight="true" outlineLevel="0" collapsed="false">
      <c r="A10" s="36" t="s">
        <v>83</v>
      </c>
      <c r="B10" s="36" t="s">
        <v>105</v>
      </c>
      <c r="C10" s="45" t="n">
        <v>0</v>
      </c>
      <c r="D10" s="46" t="n">
        <f aca="false">Financial_Metrics!G30*(1+C10)</f>
        <v>26.981</v>
      </c>
      <c r="E10" s="46" t="n">
        <f aca="false">Financial_Metrics!G32*(1+H10*C10)</f>
        <v>6.223</v>
      </c>
      <c r="F10" s="47" t="n">
        <f aca="false">IFERROR(E10/Financial_Metrics!G42,"")</f>
        <v>6.48229166666667</v>
      </c>
      <c r="G10" s="36" t="str">
        <f aca="false">IF(F10="","Not assessed",IF(F10&gt;=$N$3,"Illustrative buffer",IF(F10&gt;=$N$4,"Pressure","High pressure")))</f>
        <v>Illustrative buffer</v>
      </c>
      <c r="H10" s="48" t="n">
        <f aca="false">$N$2</f>
        <v>2.5</v>
      </c>
      <c r="I10" s="38" t="s">
        <v>106</v>
      </c>
      <c r="J10" s="38" t="s">
        <v>107</v>
      </c>
      <c r="K10" s="38" t="s">
        <v>108</v>
      </c>
      <c r="L10" s="26"/>
      <c r="M10" s="26"/>
      <c r="N10" s="26"/>
    </row>
    <row r="11" customFormat="false" ht="41.25" hidden="false" customHeight="true" outlineLevel="0" collapsed="false">
      <c r="A11" s="23" t="s">
        <v>83</v>
      </c>
      <c r="B11" s="23" t="s">
        <v>110</v>
      </c>
      <c r="C11" s="39" t="n">
        <v>-0.05</v>
      </c>
      <c r="D11" s="40" t="n">
        <f aca="false">Financial_Metrics!G30*(1+C11)</f>
        <v>25.63195</v>
      </c>
      <c r="E11" s="40" t="n">
        <f aca="false">Financial_Metrics!G32*(1+H11*C11)</f>
        <v>5.445125</v>
      </c>
      <c r="F11" s="41" t="n">
        <f aca="false">IFERROR(E11/Financial_Metrics!G42,"")</f>
        <v>5.67200520833333</v>
      </c>
      <c r="G11" s="23" t="str">
        <f aca="false">IF(F11="","Not assessed",IF(F11&gt;=$N$3,"Illustrative buffer",IF(F11&gt;=$N$4,"Pressure","High pressure")))</f>
        <v>Illustrative buffer</v>
      </c>
      <c r="H11" s="42" t="n">
        <f aca="false">$N$2</f>
        <v>2.5</v>
      </c>
      <c r="I11" s="25" t="s">
        <v>106</v>
      </c>
      <c r="J11" s="25" t="s">
        <v>107</v>
      </c>
      <c r="K11" s="25" t="s">
        <v>108</v>
      </c>
      <c r="L11" s="26"/>
      <c r="M11" s="26"/>
      <c r="N11" s="26"/>
    </row>
    <row r="12" customFormat="false" ht="41.25" hidden="false" customHeight="true" outlineLevel="0" collapsed="false">
      <c r="A12" s="23" t="s">
        <v>83</v>
      </c>
      <c r="B12" s="23" t="s">
        <v>112</v>
      </c>
      <c r="C12" s="39" t="n">
        <v>-0.1</v>
      </c>
      <c r="D12" s="40" t="n">
        <f aca="false">Financial_Metrics!G30*(1+C12)</f>
        <v>24.2829</v>
      </c>
      <c r="E12" s="40" t="n">
        <f aca="false">Financial_Metrics!G32*(1+H12*C12)</f>
        <v>4.66725</v>
      </c>
      <c r="F12" s="41" t="n">
        <f aca="false">IFERROR(E12/Financial_Metrics!G42,"")</f>
        <v>4.86171875</v>
      </c>
      <c r="G12" s="23" t="str">
        <f aca="false">IF(F12="","Not assessed",IF(F12&gt;=$N$3,"Illustrative buffer",IF(F12&gt;=$N$4,"Pressure","High pressure")))</f>
        <v>Pressure</v>
      </c>
      <c r="H12" s="42" t="n">
        <f aca="false">$N$2</f>
        <v>2.5</v>
      </c>
      <c r="I12" s="25" t="s">
        <v>106</v>
      </c>
      <c r="J12" s="25" t="s">
        <v>107</v>
      </c>
      <c r="K12" s="25" t="s">
        <v>108</v>
      </c>
      <c r="L12" s="26"/>
      <c r="M12" s="26"/>
      <c r="N12" s="26"/>
    </row>
    <row r="13" customFormat="false" ht="41.25" hidden="false" customHeight="true" outlineLevel="0" collapsed="false">
      <c r="A13" s="23" t="s">
        <v>83</v>
      </c>
      <c r="B13" s="23" t="s">
        <v>114</v>
      </c>
      <c r="C13" s="39" t="n">
        <v>-0.25</v>
      </c>
      <c r="D13" s="40" t="n">
        <f aca="false">Financial_Metrics!G30*(1+C13)</f>
        <v>20.23575</v>
      </c>
      <c r="E13" s="40" t="n">
        <f aca="false">Financial_Metrics!G32*(1+H13*C13)</f>
        <v>2.333625</v>
      </c>
      <c r="F13" s="41" t="n">
        <f aca="false">IFERROR(E13/Financial_Metrics!G42,"")</f>
        <v>2.430859375</v>
      </c>
      <c r="G13" s="23" t="str">
        <f aca="false">IF(F13="","Not assessed",IF(F13&gt;=$N$3,"Illustrative buffer",IF(F13&gt;=$N$4,"Pressure","High pressure")))</f>
        <v>Pressure</v>
      </c>
      <c r="H13" s="42" t="n">
        <f aca="false">$N$2</f>
        <v>2.5</v>
      </c>
      <c r="I13" s="25" t="s">
        <v>106</v>
      </c>
      <c r="J13" s="25" t="s">
        <v>107</v>
      </c>
      <c r="K13" s="25" t="s">
        <v>108</v>
      </c>
      <c r="L13" s="26"/>
      <c r="M13" s="26"/>
      <c r="N13" s="26"/>
    </row>
    <row r="14" customFormat="false" ht="41.25" hidden="false" customHeight="true" outlineLevel="0" collapsed="false">
      <c r="A14" s="36" t="s">
        <v>85</v>
      </c>
      <c r="B14" s="36" t="s">
        <v>105</v>
      </c>
      <c r="C14" s="45" t="n">
        <v>0</v>
      </c>
      <c r="D14" s="46" t="n">
        <f aca="false">Financial_Metrics!G44*(1+C14)</f>
        <v>13.942</v>
      </c>
      <c r="E14" s="46" t="n">
        <f aca="false">Financial_Metrics!G46*(1+H14*C14)</f>
        <v>2.51</v>
      </c>
      <c r="F14" s="47" t="n">
        <f aca="false">IFERROR(E14/Financial_Metrics!G56,"")</f>
        <v>3.92801251956181</v>
      </c>
      <c r="G14" s="36" t="str">
        <f aca="false">IF(F14="","Not assessed",IF(F14&gt;=$N$3,"Illustrative buffer",IF(F14&gt;=$N$4,"Pressure","High pressure")))</f>
        <v>Pressure</v>
      </c>
      <c r="H14" s="48" t="n">
        <f aca="false">$N$2</f>
        <v>2.5</v>
      </c>
      <c r="I14" s="38" t="s">
        <v>106</v>
      </c>
      <c r="J14" s="38" t="s">
        <v>107</v>
      </c>
      <c r="K14" s="38" t="s">
        <v>108</v>
      </c>
      <c r="L14" s="26"/>
      <c r="M14" s="26"/>
      <c r="N14" s="26"/>
    </row>
    <row r="15" customFormat="false" ht="41.25" hidden="false" customHeight="true" outlineLevel="0" collapsed="false">
      <c r="A15" s="23" t="s">
        <v>85</v>
      </c>
      <c r="B15" s="23" t="s">
        <v>110</v>
      </c>
      <c r="C15" s="39" t="n">
        <v>-0.05</v>
      </c>
      <c r="D15" s="40" t="n">
        <f aca="false">Financial_Metrics!G44*(1+C15)</f>
        <v>13.2449</v>
      </c>
      <c r="E15" s="40" t="n">
        <f aca="false">Financial_Metrics!G46*(1+H15*C15)</f>
        <v>2.19625</v>
      </c>
      <c r="F15" s="41" t="n">
        <f aca="false">IFERROR(E15/Financial_Metrics!G56,"")</f>
        <v>3.43701095461659</v>
      </c>
      <c r="G15" s="23" t="str">
        <f aca="false">IF(F15="","Not assessed",IF(F15&gt;=$N$3,"Illustrative buffer",IF(F15&gt;=$N$4,"Pressure","High pressure")))</f>
        <v>Pressure</v>
      </c>
      <c r="H15" s="42" t="n">
        <f aca="false">$N$2</f>
        <v>2.5</v>
      </c>
      <c r="I15" s="25" t="s">
        <v>106</v>
      </c>
      <c r="J15" s="25" t="s">
        <v>107</v>
      </c>
      <c r="K15" s="25" t="s">
        <v>108</v>
      </c>
      <c r="L15" s="26"/>
      <c r="M15" s="26"/>
      <c r="N15" s="26"/>
    </row>
    <row r="16" customFormat="false" ht="41.25" hidden="false" customHeight="true" outlineLevel="0" collapsed="false">
      <c r="A16" s="23" t="s">
        <v>85</v>
      </c>
      <c r="B16" s="23" t="s">
        <v>112</v>
      </c>
      <c r="C16" s="39" t="n">
        <v>-0.1</v>
      </c>
      <c r="D16" s="40" t="n">
        <f aca="false">Financial_Metrics!G44*(1+C16)</f>
        <v>12.5478</v>
      </c>
      <c r="E16" s="40" t="n">
        <f aca="false">Financial_Metrics!G46*(1+H16*C16)</f>
        <v>1.8825</v>
      </c>
      <c r="F16" s="41" t="n">
        <f aca="false">IFERROR(E16/Financial_Metrics!G56,"")</f>
        <v>2.94600938967136</v>
      </c>
      <c r="G16" s="23" t="str">
        <f aca="false">IF(F16="","Not assessed",IF(F16&gt;=$N$3,"Illustrative buffer",IF(F16&gt;=$N$4,"Pressure","High pressure")))</f>
        <v>Pressure</v>
      </c>
      <c r="H16" s="42" t="n">
        <f aca="false">$N$2</f>
        <v>2.5</v>
      </c>
      <c r="I16" s="25" t="s">
        <v>106</v>
      </c>
      <c r="J16" s="25" t="s">
        <v>107</v>
      </c>
      <c r="K16" s="25" t="s">
        <v>108</v>
      </c>
      <c r="L16" s="26"/>
      <c r="M16" s="26"/>
      <c r="N16" s="26"/>
    </row>
    <row r="17" customFormat="false" ht="41.25" hidden="false" customHeight="true" outlineLevel="0" collapsed="false">
      <c r="A17" s="23" t="s">
        <v>85</v>
      </c>
      <c r="B17" s="23" t="s">
        <v>114</v>
      </c>
      <c r="C17" s="39" t="n">
        <v>-0.25</v>
      </c>
      <c r="D17" s="40" t="n">
        <f aca="false">Financial_Metrics!G44*(1+C17)</f>
        <v>10.4565</v>
      </c>
      <c r="E17" s="40" t="n">
        <f aca="false">Financial_Metrics!G46*(1+H17*C17)</f>
        <v>0.94125</v>
      </c>
      <c r="F17" s="41" t="n">
        <f aca="false">IFERROR(E17/Financial_Metrics!G56,"")</f>
        <v>1.47300469483568</v>
      </c>
      <c r="G17" s="23" t="str">
        <f aca="false">IF(F17="","Not assessed",IF(F17&gt;=$N$3,"Illustrative buffer",IF(F17&gt;=$N$4,"Pressure","High pressure")))</f>
        <v>High pressure</v>
      </c>
      <c r="H17" s="42" t="n">
        <f aca="false">$N$2</f>
        <v>2.5</v>
      </c>
      <c r="I17" s="25" t="s">
        <v>106</v>
      </c>
      <c r="J17" s="25" t="s">
        <v>107</v>
      </c>
      <c r="K17" s="25" t="s">
        <v>108</v>
      </c>
      <c r="L17" s="26"/>
      <c r="M17" s="26"/>
      <c r="N17" s="26"/>
    </row>
    <row r="18" customFormat="false" ht="41.25" hidden="false" customHeight="true" outlineLevel="0" collapsed="false">
      <c r="A18" s="36" t="s">
        <v>91</v>
      </c>
      <c r="B18" s="36" t="s">
        <v>105</v>
      </c>
      <c r="C18" s="45" t="n">
        <v>0</v>
      </c>
      <c r="D18" s="46" t="n">
        <f aca="false">Financial_Metrics!G58*(1+C18)</f>
        <v>5.902</v>
      </c>
      <c r="E18" s="46" t="n">
        <f aca="false">Financial_Metrics!G60*(1+H18*C18)</f>
        <v>1.668</v>
      </c>
      <c r="F18" s="47" t="n">
        <f aca="false">IFERROR(E18/Financial_Metrics!G70,"")</f>
        <v>5.61616161616162</v>
      </c>
      <c r="G18" s="36" t="str">
        <f aca="false">IF(F18="","Not assessed",IF(F18&gt;=$N$3,"Illustrative buffer",IF(F18&gt;=$N$4,"Pressure","High pressure")))</f>
        <v>Illustrative buffer</v>
      </c>
      <c r="H18" s="48" t="n">
        <f aca="false">$N$2</f>
        <v>2.5</v>
      </c>
      <c r="I18" s="38" t="s">
        <v>106</v>
      </c>
      <c r="J18" s="38" t="s">
        <v>107</v>
      </c>
      <c r="K18" s="38" t="s">
        <v>108</v>
      </c>
      <c r="L18" s="26"/>
      <c r="M18" s="26"/>
      <c r="N18" s="26"/>
    </row>
    <row r="19" customFormat="false" ht="41.25" hidden="false" customHeight="true" outlineLevel="0" collapsed="false">
      <c r="A19" s="23" t="s">
        <v>91</v>
      </c>
      <c r="B19" s="23" t="s">
        <v>110</v>
      </c>
      <c r="C19" s="39" t="n">
        <v>-0.05</v>
      </c>
      <c r="D19" s="40" t="n">
        <f aca="false">Financial_Metrics!G58*(1+C19)</f>
        <v>5.6069</v>
      </c>
      <c r="E19" s="40" t="n">
        <f aca="false">Financial_Metrics!G60*(1+H19*C19)</f>
        <v>1.4595</v>
      </c>
      <c r="F19" s="41" t="n">
        <f aca="false">IFERROR(E19/Financial_Metrics!G70,"")</f>
        <v>4.91414141414141</v>
      </c>
      <c r="G19" s="23" t="str">
        <f aca="false">IF(F19="","Not assessed",IF(F19&gt;=$N$3,"Illustrative buffer",IF(F19&gt;=$N$4,"Pressure","High pressure")))</f>
        <v>Pressure</v>
      </c>
      <c r="H19" s="42" t="n">
        <f aca="false">$N$2</f>
        <v>2.5</v>
      </c>
      <c r="I19" s="25" t="s">
        <v>106</v>
      </c>
      <c r="J19" s="25" t="s">
        <v>107</v>
      </c>
      <c r="K19" s="25" t="s">
        <v>108</v>
      </c>
      <c r="L19" s="26"/>
      <c r="M19" s="26"/>
      <c r="N19" s="26"/>
    </row>
    <row r="20" customFormat="false" ht="41.25" hidden="false" customHeight="true" outlineLevel="0" collapsed="false">
      <c r="A20" s="23" t="s">
        <v>91</v>
      </c>
      <c r="B20" s="23" t="s">
        <v>112</v>
      </c>
      <c r="C20" s="39" t="n">
        <v>-0.1</v>
      </c>
      <c r="D20" s="40" t="n">
        <f aca="false">Financial_Metrics!G58*(1+C20)</f>
        <v>5.3118</v>
      </c>
      <c r="E20" s="40" t="n">
        <f aca="false">Financial_Metrics!G60*(1+H20*C20)</f>
        <v>1.251</v>
      </c>
      <c r="F20" s="41" t="n">
        <f aca="false">IFERROR(E20/Financial_Metrics!G70,"")</f>
        <v>4.21212121212121</v>
      </c>
      <c r="G20" s="23" t="str">
        <f aca="false">IF(F20="","Not assessed",IF(F20&gt;=$N$3,"Illustrative buffer",IF(F20&gt;=$N$4,"Pressure","High pressure")))</f>
        <v>Pressure</v>
      </c>
      <c r="H20" s="42" t="n">
        <f aca="false">$N$2</f>
        <v>2.5</v>
      </c>
      <c r="I20" s="25" t="s">
        <v>106</v>
      </c>
      <c r="J20" s="25" t="s">
        <v>107</v>
      </c>
      <c r="K20" s="25" t="s">
        <v>108</v>
      </c>
      <c r="L20" s="26"/>
      <c r="M20" s="26"/>
      <c r="N20" s="26"/>
    </row>
    <row r="21" customFormat="false" ht="41.25" hidden="false" customHeight="true" outlineLevel="0" collapsed="false">
      <c r="A21" s="23" t="s">
        <v>91</v>
      </c>
      <c r="B21" s="23" t="s">
        <v>114</v>
      </c>
      <c r="C21" s="39" t="n">
        <v>-0.25</v>
      </c>
      <c r="D21" s="40" t="n">
        <f aca="false">Financial_Metrics!G58*(1+C21)</f>
        <v>4.4265</v>
      </c>
      <c r="E21" s="40" t="n">
        <f aca="false">Financial_Metrics!G60*(1+H21*C21)</f>
        <v>0.6255</v>
      </c>
      <c r="F21" s="41" t="n">
        <f aca="false">IFERROR(E21/Financial_Metrics!G70,"")</f>
        <v>2.10606060606061</v>
      </c>
      <c r="G21" s="23" t="str">
        <f aca="false">IF(F21="","Not assessed",IF(F21&gt;=$N$3,"Illustrative buffer",IF(F21&gt;=$N$4,"Pressure","High pressure")))</f>
        <v>Pressure</v>
      </c>
      <c r="H21" s="42" t="n">
        <f aca="false">$N$2</f>
        <v>2.5</v>
      </c>
      <c r="I21" s="25" t="s">
        <v>106</v>
      </c>
      <c r="J21" s="25" t="s">
        <v>107</v>
      </c>
      <c r="K21" s="25" t="s">
        <v>108</v>
      </c>
      <c r="L21" s="26"/>
      <c r="M21" s="26"/>
      <c r="N21" s="26"/>
    </row>
  </sheetData>
  <autoFilter ref="A1:N21"/>
  <conditionalFormatting sqref="G2:G21">
    <cfRule type="cellIs" priority="2" operator="equal" aboveAverage="0" equalAverage="0" bottom="0" percent="0" rank="0" text="" dxfId="0">
      <formula>"Illustrative buffer"</formula>
    </cfRule>
    <cfRule type="cellIs" priority="3" operator="equal" aboveAverage="0" equalAverage="0" bottom="0" percent="0" rank="0" text="" dxfId="1">
      <formula>"Pressure"</formula>
    </cfRule>
    <cfRule type="cellIs" priority="4" operator="equal" aboveAverage="0" equalAverage="0" bottom="0" percent="0" rank="0" text="" dxfId="2">
      <formula>"High pressure"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A1:K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22" width="12"/>
    <col collapsed="false" customWidth="true" hidden="false" outlineLevel="0" max="4" min="3" style="22" width="16"/>
    <col collapsed="false" customWidth="true" hidden="false" outlineLevel="0" max="6" min="5" style="22" width="30"/>
    <col collapsed="false" customWidth="true" hidden="false" outlineLevel="0" max="10" min="7" style="22" width="18"/>
    <col collapsed="false" customWidth="true" hidden="false" outlineLevel="0" max="11" min="11" style="0" width="20"/>
  </cols>
  <sheetData>
    <row r="1" customFormat="false" ht="31.5" hidden="false" customHeight="true" outlineLevel="0" collapsed="false">
      <c r="A1" s="3" t="s">
        <v>2</v>
      </c>
      <c r="B1" s="3" t="s">
        <v>115</v>
      </c>
      <c r="C1" s="3" t="s">
        <v>72</v>
      </c>
      <c r="D1" s="3" t="s">
        <v>77</v>
      </c>
      <c r="E1" s="3" t="s">
        <v>116</v>
      </c>
      <c r="F1" s="3" t="s">
        <v>117</v>
      </c>
      <c r="G1" s="3" t="s">
        <v>118</v>
      </c>
      <c r="H1" s="3" t="s">
        <v>119</v>
      </c>
      <c r="I1" s="3" t="s">
        <v>120</v>
      </c>
      <c r="J1" s="3" t="s">
        <v>121</v>
      </c>
      <c r="K1" s="4" t="s">
        <v>122</v>
      </c>
    </row>
    <row r="2" customFormat="false" ht="122.35" hidden="false" customHeight="false" outlineLevel="0" collapsed="false">
      <c r="A2" s="23" t="s">
        <v>43</v>
      </c>
      <c r="B2" s="23" t="s">
        <v>33</v>
      </c>
      <c r="C2" s="41" t="n">
        <f aca="false">IFERROR(Financial_Metrics!C10/Financial_Metrics!C11,"")</f>
        <v>1.07142857142857</v>
      </c>
      <c r="D2" s="41" t="n">
        <f aca="false">IFERROR(Financial_Metrics!C4/Financial_Metrics!C14,"")</f>
        <v>6.25</v>
      </c>
      <c r="E2" s="49" t="s">
        <v>123</v>
      </c>
      <c r="F2" s="50" t="s">
        <v>124</v>
      </c>
      <c r="G2" s="51" t="n">
        <f aca="false">IFERROR(Financial_Metrics!C9/Financial_Metrics!C2,"")</f>
        <v>0.203333333333333</v>
      </c>
      <c r="H2" s="51" t="n">
        <f aca="false">IFERROR(Financial_Metrics!C7/Financial_Metrics!C13,"")</f>
        <v>0.384335154826958</v>
      </c>
      <c r="I2" s="25" t="s">
        <v>125</v>
      </c>
      <c r="J2" s="25" t="s">
        <v>126</v>
      </c>
      <c r="K2" s="52" t="n">
        <f aca="false">IFERROR(Financial_Metrics!C4/Financial_Metrics!C2,"")</f>
        <v>0.194444444444444</v>
      </c>
    </row>
    <row r="3" customFormat="false" ht="122.35" hidden="false" customHeight="false" outlineLevel="0" collapsed="false">
      <c r="A3" s="23" t="s">
        <v>43</v>
      </c>
      <c r="B3" s="23" t="s">
        <v>34</v>
      </c>
      <c r="C3" s="41" t="n">
        <f aca="false">IFERROR(Financial_Metrics!D10/Financial_Metrics!D11,"")</f>
        <v>1.06960556844548</v>
      </c>
      <c r="D3" s="41" t="n">
        <f aca="false">IFERROR(Financial_Metrics!D4/Financial_Metrics!D14,"")</f>
        <v>6.03333333333333</v>
      </c>
      <c r="E3" s="49" t="s">
        <v>123</v>
      </c>
      <c r="F3" s="50" t="s">
        <v>124</v>
      </c>
      <c r="G3" s="51" t="n">
        <f aca="false">IFERROR(Financial_Metrics!D9/Financial_Metrics!D2,"")</f>
        <v>0.0755355129650507</v>
      </c>
      <c r="H3" s="51" t="n">
        <f aca="false">IFERROR(Financial_Metrics!D7/Financial_Metrics!D13,"")</f>
        <v>0.177007299270073</v>
      </c>
      <c r="I3" s="25" t="s">
        <v>125</v>
      </c>
      <c r="J3" s="25" t="s">
        <v>126</v>
      </c>
      <c r="K3" s="52" t="n">
        <f aca="false">IFERROR(Financial_Metrics!D4/Financial_Metrics!D2,"")</f>
        <v>0.204058624577227</v>
      </c>
    </row>
    <row r="4" customFormat="false" ht="122.35" hidden="false" customHeight="false" outlineLevel="0" collapsed="false">
      <c r="A4" s="23" t="s">
        <v>43</v>
      </c>
      <c r="B4" s="23" t="s">
        <v>35</v>
      </c>
      <c r="C4" s="41" t="n">
        <f aca="false">IFERROR(Financial_Metrics!E10/Financial_Metrics!E11,"")</f>
        <v>1.06033182503771</v>
      </c>
      <c r="D4" s="41" t="n">
        <f aca="false">IFERROR(Financial_Metrics!E4/Financial_Metrics!E14,"")</f>
        <v>5.80851063829787</v>
      </c>
      <c r="E4" s="49" t="s">
        <v>123</v>
      </c>
      <c r="F4" s="50" t="s">
        <v>124</v>
      </c>
      <c r="G4" s="51" t="n">
        <f aca="false">IFERROR(Financial_Metrics!E9/Financial_Metrics!E2,"")</f>
        <v>0.116313402931562</v>
      </c>
      <c r="H4" s="51" t="n">
        <f aca="false">IFERROR(Financial_Metrics!E7/Financial_Metrics!E13,"")</f>
        <v>0.226050420168067</v>
      </c>
      <c r="I4" s="25" t="s">
        <v>125</v>
      </c>
      <c r="J4" s="25" t="s">
        <v>126</v>
      </c>
      <c r="K4" s="52" t="n">
        <f aca="false">IFERROR(Financial_Metrics!E4/Financial_Metrics!E2,"")</f>
        <v>0.143941790572604</v>
      </c>
    </row>
    <row r="5" customFormat="false" ht="122.35" hidden="false" customHeight="false" outlineLevel="0" collapsed="false">
      <c r="A5" s="23" t="s">
        <v>43</v>
      </c>
      <c r="B5" s="23" t="s">
        <v>36</v>
      </c>
      <c r="C5" s="41" t="n">
        <f aca="false">IFERROR(Financial_Metrics!F10/Financial_Metrics!F11,"")</f>
        <v>1.19899984124464</v>
      </c>
      <c r="D5" s="41" t="n">
        <f aca="false">IFERROR(Financial_Metrics!F4/Financial_Metrics!F14,"")</f>
        <v>2.38403041825095</v>
      </c>
      <c r="E5" s="49" t="s">
        <v>123</v>
      </c>
      <c r="F5" s="50" t="s">
        <v>124</v>
      </c>
      <c r="G5" s="51" t="n">
        <f aca="false">IFERROR(Financial_Metrics!F9/Financial_Metrics!F2,"")</f>
        <v>0.127593152064451</v>
      </c>
      <c r="H5" s="51" t="n">
        <f aca="false">IFERROR(Financial_Metrics!F7/Financial_Metrics!F13,"")</f>
        <v>0.255017709563164</v>
      </c>
      <c r="I5" s="25" t="s">
        <v>125</v>
      </c>
      <c r="J5" s="25" t="s">
        <v>126</v>
      </c>
      <c r="K5" s="52" t="n">
        <f aca="false">IFERROR(Financial_Metrics!F4/Financial_Metrics!F2,"")</f>
        <v>0.0631419939577039</v>
      </c>
    </row>
    <row r="6" customFormat="false" ht="122.35" hidden="false" customHeight="false" outlineLevel="0" collapsed="false">
      <c r="A6" s="23" t="s">
        <v>43</v>
      </c>
      <c r="B6" s="23" t="s">
        <v>37</v>
      </c>
      <c r="C6" s="41" t="n">
        <f aca="false">IFERROR(Financial_Metrics!G10/Financial_Metrics!G11,"")</f>
        <v>1.20494144530134</v>
      </c>
      <c r="D6" s="41" t="n">
        <f aca="false">IFERROR(Financial_Metrics!G4/Financial_Metrics!G14,"")</f>
        <v>8.59230769230769</v>
      </c>
      <c r="E6" s="49" t="s">
        <v>123</v>
      </c>
      <c r="F6" s="50" t="s">
        <v>124</v>
      </c>
      <c r="G6" s="51" t="n">
        <f aca="false">IFERROR(Financial_Metrics!G9/Financial_Metrics!G2,"")</f>
        <v>0.159250103007829</v>
      </c>
      <c r="H6" s="51" t="n">
        <f aca="false">IFERROR(Financial_Metrics!G7/Financial_Metrics!G13,"")</f>
        <v>0.257134579168478</v>
      </c>
      <c r="I6" s="25" t="s">
        <v>125</v>
      </c>
      <c r="J6" s="25" t="s">
        <v>126</v>
      </c>
      <c r="K6" s="52" t="n">
        <f aca="false">IFERROR(Financial_Metrics!G4/Financial_Metrics!G2,"")</f>
        <v>0.23011948908117</v>
      </c>
    </row>
    <row r="7" customFormat="false" ht="122.35" hidden="false" customHeight="false" outlineLevel="0" collapsed="false">
      <c r="A7" s="23" t="s">
        <v>43</v>
      </c>
      <c r="B7" s="23" t="s">
        <v>38</v>
      </c>
      <c r="C7" s="41" t="n">
        <f aca="false">IFERROR(Financial_Metrics!H10/Financial_Metrics!H11,"")</f>
        <v>1.09836065573771</v>
      </c>
      <c r="D7" s="41" t="n">
        <f aca="false">IFERROR(Financial_Metrics!H4/Financial_Metrics!H14,"")</f>
        <v>5.20588235294118</v>
      </c>
      <c r="E7" s="49" t="s">
        <v>123</v>
      </c>
      <c r="F7" s="50" t="s">
        <v>124</v>
      </c>
      <c r="G7" s="51" t="n">
        <f aca="false">IFERROR(Financial_Metrics!H9/Financial_Metrics!H2,"")</f>
        <v>0.167326732673267</v>
      </c>
      <c r="H7" s="51" t="n">
        <f aca="false">IFERROR(Financial_Metrics!H7/Financial_Metrics!H13,"")</f>
        <v>0.287323943661972</v>
      </c>
      <c r="I7" s="25" t="s">
        <v>125</v>
      </c>
      <c r="J7" s="25" t="s">
        <v>126</v>
      </c>
      <c r="K7" s="52" t="n">
        <f aca="false">IFERROR(Financial_Metrics!H4/Financial_Metrics!H2,"")</f>
        <v>0.175247524752475</v>
      </c>
    </row>
    <row r="8" customFormat="false" ht="122.35" hidden="false" customHeight="false" outlineLevel="0" collapsed="false">
      <c r="A8" s="36" t="s">
        <v>78</v>
      </c>
      <c r="B8" s="36" t="s">
        <v>33</v>
      </c>
      <c r="C8" s="47" t="n">
        <f aca="false">IFERROR(Financial_Metrics!C24/Financial_Metrics!C25,"")</f>
        <v>0.927631578947369</v>
      </c>
      <c r="D8" s="47" t="n">
        <f aca="false">IFERROR(Financial_Metrics!C18/Financial_Metrics!C28,"")</f>
        <v>7.38095238095238</v>
      </c>
      <c r="E8" s="53" t="s">
        <v>123</v>
      </c>
      <c r="F8" s="54" t="s">
        <v>124</v>
      </c>
      <c r="G8" s="55" t="n">
        <f aca="false">IFERROR(Financial_Metrics!C23/Financial_Metrics!C16,"")</f>
        <v>0.180327868852459</v>
      </c>
      <c r="H8" s="55" t="n">
        <f aca="false">IFERROR(Financial_Metrics!C21/Financial_Metrics!C27,"")</f>
        <v>0.232142857142857</v>
      </c>
      <c r="I8" s="38" t="s">
        <v>125</v>
      </c>
      <c r="J8" s="38" t="s">
        <v>126</v>
      </c>
      <c r="K8" s="56" t="n">
        <f aca="false">IFERROR(Financial_Metrics!C18/Financial_Metrics!C16,"")</f>
        <v>0.254098360655738</v>
      </c>
    </row>
    <row r="9" customFormat="false" ht="122.35" hidden="false" customHeight="false" outlineLevel="0" collapsed="false">
      <c r="A9" s="23" t="s">
        <v>78</v>
      </c>
      <c r="B9" s="23" t="s">
        <v>34</v>
      </c>
      <c r="C9" s="41" t="n">
        <f aca="false">IFERROR(Financial_Metrics!D24/Financial_Metrics!D25,"")</f>
        <v>0.935483870967742</v>
      </c>
      <c r="D9" s="41" t="n">
        <f aca="false">IFERROR(Financial_Metrics!D18/Financial_Metrics!D28,"")</f>
        <v>7.11111111111111</v>
      </c>
      <c r="E9" s="49" t="s">
        <v>123</v>
      </c>
      <c r="F9" s="50" t="s">
        <v>124</v>
      </c>
      <c r="G9" s="51" t="n">
        <f aca="false">IFERROR(Financial_Metrics!D23/Financial_Metrics!D16,"")</f>
        <v>0.188</v>
      </c>
      <c r="H9" s="51" t="n">
        <f aca="false">IFERROR(Financial_Metrics!D21/Financial_Metrics!D27,"")</f>
        <v>0.243478260869565</v>
      </c>
      <c r="I9" s="25" t="s">
        <v>125</v>
      </c>
      <c r="J9" s="25" t="s">
        <v>126</v>
      </c>
      <c r="K9" s="52" t="n">
        <f aca="false">IFERROR(Financial_Metrics!D18/Financial_Metrics!D16,"")</f>
        <v>0.256</v>
      </c>
    </row>
    <row r="10" customFormat="false" ht="122.35" hidden="false" customHeight="false" outlineLevel="0" collapsed="false">
      <c r="A10" s="23" t="s">
        <v>78</v>
      </c>
      <c r="B10" s="23" t="s">
        <v>35</v>
      </c>
      <c r="C10" s="41" t="n">
        <f aca="false">IFERROR(Financial_Metrics!E24/Financial_Metrics!E25,"")</f>
        <v>0.932098765432099</v>
      </c>
      <c r="D10" s="41" t="n">
        <f aca="false">IFERROR(Financial_Metrics!E18/Financial_Metrics!E28,"")</f>
        <v>7.88541666666667</v>
      </c>
      <c r="E10" s="49" t="s">
        <v>123</v>
      </c>
      <c r="F10" s="50" t="s">
        <v>124</v>
      </c>
      <c r="G10" s="51" t="n">
        <f aca="false">IFERROR(Financial_Metrics!E23/Financial_Metrics!E16,"")</f>
        <v>0.194377990430622</v>
      </c>
      <c r="H10" s="51" t="n">
        <f aca="false">IFERROR(Financial_Metrics!E21/Financial_Metrics!E27,"")</f>
        <v>0.26271186440678</v>
      </c>
      <c r="I10" s="25" t="s">
        <v>125</v>
      </c>
      <c r="J10" s="25" t="s">
        <v>126</v>
      </c>
      <c r="K10" s="52" t="n">
        <f aca="false">IFERROR(Financial_Metrics!E18/Financial_Metrics!E16,"")</f>
        <v>0.282969497607656</v>
      </c>
    </row>
    <row r="11" customFormat="false" ht="122.35" hidden="false" customHeight="false" outlineLevel="0" collapsed="false">
      <c r="A11" s="23" t="s">
        <v>78</v>
      </c>
      <c r="B11" s="23" t="s">
        <v>36</v>
      </c>
      <c r="C11" s="41" t="n">
        <f aca="false">IFERROR(Financial_Metrics!F24/Financial_Metrics!F25,"")</f>
        <v>0.957575757575758</v>
      </c>
      <c r="D11" s="41" t="n">
        <f aca="false">IFERROR(Financial_Metrics!F18/Financial_Metrics!F28,"")</f>
        <v>4.86675126903553</v>
      </c>
      <c r="E11" s="49" t="s">
        <v>123</v>
      </c>
      <c r="F11" s="50" t="s">
        <v>124</v>
      </c>
      <c r="G11" s="51" t="n">
        <f aca="false">IFERROR(Financial_Metrics!F23/Financial_Metrics!F16,"")</f>
        <v>0.168811313543127</v>
      </c>
      <c r="H11" s="51" t="n">
        <f aca="false">IFERROR(Financial_Metrics!F21/Financial_Metrics!F27,"")</f>
        <v>0.264462809917355</v>
      </c>
      <c r="I11" s="25" t="s">
        <v>125</v>
      </c>
      <c r="J11" s="25" t="s">
        <v>126</v>
      </c>
      <c r="K11" s="52" t="n">
        <f aca="false">IFERROR(Financial_Metrics!F18/Financial_Metrics!F16,"")</f>
        <v>0.244298636769015</v>
      </c>
    </row>
    <row r="12" customFormat="false" ht="122.35" hidden="false" customHeight="false" outlineLevel="0" collapsed="false">
      <c r="A12" s="23" t="s">
        <v>78</v>
      </c>
      <c r="B12" s="23" t="s">
        <v>37</v>
      </c>
      <c r="C12" s="41" t="n">
        <f aca="false">IFERROR(Financial_Metrics!G24/Financial_Metrics!G25,"")</f>
        <v>0.952662721893491</v>
      </c>
      <c r="D12" s="41" t="n">
        <f aca="false">IFERROR(Financial_Metrics!G18/Financial_Metrics!G28,"")</f>
        <v>5.33006134969325</v>
      </c>
      <c r="E12" s="49" t="s">
        <v>123</v>
      </c>
      <c r="F12" s="50" t="s">
        <v>124</v>
      </c>
      <c r="G12" s="51" t="n">
        <f aca="false">IFERROR(Financial_Metrics!G23/Financial_Metrics!G16,"")</f>
        <v>0.165880914964205</v>
      </c>
      <c r="H12" s="51" t="n">
        <f aca="false">IFERROR(Financial_Metrics!G21/Financial_Metrics!G27,"")</f>
        <v>0.241379310344828</v>
      </c>
      <c r="I12" s="25" t="s">
        <v>125</v>
      </c>
      <c r="J12" s="25" t="s">
        <v>126</v>
      </c>
      <c r="K12" s="52" t="n">
        <f aca="false">IFERROR(Financial_Metrics!G18/Financial_Metrics!G16,"")</f>
        <v>0.252837436703335</v>
      </c>
    </row>
    <row r="13" customFormat="false" ht="122.35" hidden="false" customHeight="false" outlineLevel="0" collapsed="false">
      <c r="A13" s="23" t="s">
        <v>78</v>
      </c>
      <c r="B13" s="23" t="s">
        <v>38</v>
      </c>
      <c r="C13" s="41" t="n">
        <f aca="false">IFERROR(Financial_Metrics!H24/Financial_Metrics!H25,"")</f>
        <v>0.964912280701754</v>
      </c>
      <c r="D13" s="41" t="n">
        <f aca="false">IFERROR(Financial_Metrics!H18/Financial_Metrics!H28,"")</f>
        <v>8.07692307692308</v>
      </c>
      <c r="E13" s="49" t="s">
        <v>123</v>
      </c>
      <c r="F13" s="50" t="s">
        <v>124</v>
      </c>
      <c r="G13" s="51" t="n">
        <f aca="false">IFERROR(Financial_Metrics!H23/Financial_Metrics!H16,"")</f>
        <v>0.174630261660978</v>
      </c>
      <c r="H13" s="51" t="n">
        <f aca="false">IFERROR(Financial_Metrics!H21/Financial_Metrics!H27,"")</f>
        <v>0.239445494643982</v>
      </c>
      <c r="I13" s="25" t="s">
        <v>125</v>
      </c>
      <c r="J13" s="25" t="s">
        <v>126</v>
      </c>
      <c r="K13" s="52" t="n">
        <f aca="false">IFERROR(Financial_Metrics!H18/Financial_Metrics!H16,"")</f>
        <v>0.238907849829352</v>
      </c>
    </row>
    <row r="14" customFormat="false" ht="122.35" hidden="false" customHeight="false" outlineLevel="0" collapsed="false">
      <c r="A14" s="36" t="s">
        <v>83</v>
      </c>
      <c r="B14" s="36" t="s">
        <v>33</v>
      </c>
      <c r="C14" s="47" t="n">
        <f aca="false">IFERROR(Financial_Metrics!C38/Financial_Metrics!C39,"")</f>
        <v>1.13333333333333</v>
      </c>
      <c r="D14" s="47" t="n">
        <f aca="false">IFERROR(Financial_Metrics!C32/Financial_Metrics!C42,"")</f>
        <v>8.6</v>
      </c>
      <c r="E14" s="53" t="s">
        <v>123</v>
      </c>
      <c r="F14" s="54" t="s">
        <v>124</v>
      </c>
      <c r="G14" s="55" t="n">
        <f aca="false">IFERROR(Financial_Metrics!C37/Financial_Metrics!C30,"")</f>
        <v>0.1715438950555</v>
      </c>
      <c r="H14" s="55" t="n">
        <f aca="false">IFERROR(Financial_Metrics!C35/Financial_Metrics!C41,"")</f>
        <v>0.342105263157895</v>
      </c>
      <c r="I14" s="38" t="s">
        <v>125</v>
      </c>
      <c r="J14" s="38" t="s">
        <v>126</v>
      </c>
      <c r="K14" s="56" t="n">
        <f aca="false">IFERROR(Financial_Metrics!C32/Financial_Metrics!C30,"")</f>
        <v>0.216952573158426</v>
      </c>
    </row>
    <row r="15" customFormat="false" ht="122.35" hidden="false" customHeight="false" outlineLevel="0" collapsed="false">
      <c r="A15" s="23" t="s">
        <v>83</v>
      </c>
      <c r="B15" s="23" t="s">
        <v>34</v>
      </c>
      <c r="C15" s="41" t="n">
        <f aca="false">IFERROR(Financial_Metrics!D38/Financial_Metrics!D39,"")</f>
        <v>1.16417910447761</v>
      </c>
      <c r="D15" s="41" t="n">
        <f aca="false">IFERROR(Financial_Metrics!D32/Financial_Metrics!D42,"")</f>
        <v>8.84615384615385</v>
      </c>
      <c r="E15" s="49" t="s">
        <v>123</v>
      </c>
      <c r="F15" s="50" t="s">
        <v>124</v>
      </c>
      <c r="G15" s="51" t="n">
        <f aca="false">IFERROR(Financial_Metrics!D37/Financial_Metrics!D30,"")</f>
        <v>0.176328502415459</v>
      </c>
      <c r="H15" s="51" t="n">
        <f aca="false">IFERROR(Financial_Metrics!D35/Financial_Metrics!D41,"")</f>
        <v>0.352941176470588</v>
      </c>
      <c r="I15" s="25" t="s">
        <v>125</v>
      </c>
      <c r="J15" s="25" t="s">
        <v>126</v>
      </c>
      <c r="K15" s="52" t="n">
        <f aca="false">IFERROR(Financial_Metrics!D32/Financial_Metrics!D30,"")</f>
        <v>0.222222222222222</v>
      </c>
    </row>
    <row r="16" customFormat="false" ht="122.35" hidden="false" customHeight="false" outlineLevel="0" collapsed="false">
      <c r="A16" s="23" t="s">
        <v>83</v>
      </c>
      <c r="B16" s="23" t="s">
        <v>35</v>
      </c>
      <c r="C16" s="41" t="n">
        <f aca="false">IFERROR(Financial_Metrics!E38/Financial_Metrics!E39,"")</f>
        <v>1.16431924882629</v>
      </c>
      <c r="D16" s="41" t="n">
        <f aca="false">IFERROR(Financial_Metrics!E32/Financial_Metrics!E42,"")</f>
        <v>9.13840830449827</v>
      </c>
      <c r="E16" s="49" t="s">
        <v>123</v>
      </c>
      <c r="F16" s="50" t="s">
        <v>124</v>
      </c>
      <c r="G16" s="51" t="n">
        <f aca="false">IFERROR(Financial_Metrics!E37/Financial_Metrics!E30,"")</f>
        <v>0.175932441942294</v>
      </c>
      <c r="H16" s="51" t="n">
        <f aca="false">IFERROR(Financial_Metrics!E35/Financial_Metrics!E41,"")</f>
        <v>0.373983739837398</v>
      </c>
      <c r="I16" s="25" t="s">
        <v>125</v>
      </c>
      <c r="J16" s="25" t="s">
        <v>126</v>
      </c>
      <c r="K16" s="52" t="n">
        <f aca="false">IFERROR(Financial_Metrics!E32/Financial_Metrics!E30,"")</f>
        <v>0.232318789584799</v>
      </c>
    </row>
    <row r="17" customFormat="false" ht="122.35" hidden="false" customHeight="false" outlineLevel="0" collapsed="false">
      <c r="A17" s="23" t="s">
        <v>83</v>
      </c>
      <c r="B17" s="23" t="s">
        <v>36</v>
      </c>
      <c r="C17" s="41" t="n">
        <f aca="false">IFERROR(Financial_Metrics!F38/Financial_Metrics!F39,"")</f>
        <v>1.16517857142857</v>
      </c>
      <c r="D17" s="41" t="n">
        <f aca="false">IFERROR(Financial_Metrics!F32/Financial_Metrics!F42,"")</f>
        <v>8.31</v>
      </c>
      <c r="E17" s="49" t="s">
        <v>123</v>
      </c>
      <c r="F17" s="50" t="s">
        <v>124</v>
      </c>
      <c r="G17" s="51" t="n">
        <f aca="false">IFERROR(Financial_Metrics!F37/Financial_Metrics!F30,"")</f>
        <v>0.173767274511407</v>
      </c>
      <c r="H17" s="51" t="n">
        <f aca="false">IFERROR(Financial_Metrics!F35/Financial_Metrics!F41,"")</f>
        <v>0.3828125</v>
      </c>
      <c r="I17" s="25" t="s">
        <v>125</v>
      </c>
      <c r="J17" s="25" t="s">
        <v>126</v>
      </c>
      <c r="K17" s="52" t="n">
        <f aca="false">IFERROR(Financial_Metrics!F32/Financial_Metrics!F30,"")</f>
        <v>0.237836290784202</v>
      </c>
    </row>
    <row r="18" customFormat="false" ht="122.35" hidden="false" customHeight="false" outlineLevel="0" collapsed="false">
      <c r="A18" s="23" t="s">
        <v>83</v>
      </c>
      <c r="B18" s="23" t="s">
        <v>37</v>
      </c>
      <c r="C18" s="41" t="n">
        <f aca="false">IFERROR(Financial_Metrics!G38/Financial_Metrics!G39,"")</f>
        <v>1.19047619047619</v>
      </c>
      <c r="D18" s="41" t="n">
        <f aca="false">IFERROR(Financial_Metrics!G32/Financial_Metrics!G42,"")</f>
        <v>6.48229166666667</v>
      </c>
      <c r="E18" s="49" t="s">
        <v>123</v>
      </c>
      <c r="F18" s="49" t="s">
        <v>124</v>
      </c>
      <c r="G18" s="51" t="n">
        <f aca="false">IFERROR(Financial_Metrics!G37/Financial_Metrics!G30,"")</f>
        <v>0.170490345057633</v>
      </c>
      <c r="H18" s="51" t="n">
        <f aca="false">IFERROR(Financial_Metrics!G35/Financial_Metrics!G41,"")</f>
        <v>0.395522388059701</v>
      </c>
      <c r="I18" s="25" t="s">
        <v>125</v>
      </c>
      <c r="J18" s="25" t="s">
        <v>126</v>
      </c>
      <c r="K18" s="52" t="n">
        <f aca="false">IFERROR(Financial_Metrics!G32/Financial_Metrics!G30,"")</f>
        <v>0.230643786368185</v>
      </c>
    </row>
    <row r="19" customFormat="false" ht="122.35" hidden="false" customHeight="false" outlineLevel="0" collapsed="false">
      <c r="A19" s="23" t="s">
        <v>83</v>
      </c>
      <c r="B19" s="23" t="s">
        <v>38</v>
      </c>
      <c r="C19" s="41" t="n">
        <f aca="false">IFERROR(Financial_Metrics!H38/Financial_Metrics!H39,"")</f>
        <v>1.19421487603306</v>
      </c>
      <c r="D19" s="41" t="n">
        <f aca="false">IFERROR(Financial_Metrics!H32/Financial_Metrics!H42,"")</f>
        <v>10.3225806451613</v>
      </c>
      <c r="E19" s="49" t="s">
        <v>123</v>
      </c>
      <c r="F19" s="50" t="s">
        <v>124</v>
      </c>
      <c r="G19" s="51" t="n">
        <f aca="false">IFERROR(Financial_Metrics!H37/Financial_Metrics!H30,"")</f>
        <v>0.179606440071556</v>
      </c>
      <c r="H19" s="51" t="n">
        <f aca="false">IFERROR(Financial_Metrics!H35/Financial_Metrics!H41,"")</f>
        <v>0.411347517730496</v>
      </c>
      <c r="I19" s="25" t="s">
        <v>125</v>
      </c>
      <c r="J19" s="25" t="s">
        <v>126</v>
      </c>
      <c r="K19" s="52" t="n">
        <f aca="false">IFERROR(Financial_Metrics!H32/Financial_Metrics!H30,"")</f>
        <v>0.228980322003578</v>
      </c>
    </row>
    <row r="20" customFormat="false" ht="122.35" hidden="false" customHeight="false" outlineLevel="0" collapsed="false">
      <c r="A20" s="36" t="s">
        <v>85</v>
      </c>
      <c r="B20" s="36" t="s">
        <v>33</v>
      </c>
      <c r="C20" s="47" t="n">
        <f aca="false">IFERROR(Financial_Metrics!C52/Financial_Metrics!C53,"")</f>
        <v>1.2</v>
      </c>
      <c r="D20" s="47" t="n">
        <f aca="false">IFERROR(Financial_Metrics!C46/Financial_Metrics!C56,"")</f>
        <v>7</v>
      </c>
      <c r="E20" s="53" t="s">
        <v>123</v>
      </c>
      <c r="F20" s="54" t="s">
        <v>124</v>
      </c>
      <c r="G20" s="55" t="n">
        <f aca="false">IFERROR(Financial_Metrics!C51/Financial_Metrics!C44,"")</f>
        <v>0.13801756587202</v>
      </c>
      <c r="H20" s="55" t="n">
        <f aca="false">IFERROR(Financial_Metrics!C49/Financial_Metrics!C55,"")</f>
        <v>0.245098039215686</v>
      </c>
      <c r="I20" s="38" t="s">
        <v>125</v>
      </c>
      <c r="J20" s="38" t="s">
        <v>126</v>
      </c>
      <c r="K20" s="56" t="n">
        <f aca="false">IFERROR(Financial_Metrics!C46/Financial_Metrics!C44,"")</f>
        <v>0.175658720200753</v>
      </c>
    </row>
    <row r="21" customFormat="false" ht="122.35" hidden="false" customHeight="false" outlineLevel="0" collapsed="false">
      <c r="A21" s="23" t="s">
        <v>85</v>
      </c>
      <c r="B21" s="23" t="s">
        <v>34</v>
      </c>
      <c r="C21" s="41" t="n">
        <f aca="false">IFERROR(Financial_Metrics!D52/Financial_Metrics!D53,"")</f>
        <v>1.23913043478261</v>
      </c>
      <c r="D21" s="41" t="n">
        <f aca="false">IFERROR(Financial_Metrics!D46/Financial_Metrics!D56,"")</f>
        <v>7.04545454545455</v>
      </c>
      <c r="E21" s="49" t="s">
        <v>123</v>
      </c>
      <c r="F21" s="50" t="s">
        <v>124</v>
      </c>
      <c r="G21" s="51" t="n">
        <f aca="false">IFERROR(Financial_Metrics!D51/Financial_Metrics!D44,"")</f>
        <v>0.145238095238095</v>
      </c>
      <c r="H21" s="51" t="n">
        <f aca="false">IFERROR(Financial_Metrics!D49/Financial_Metrics!D55,"")</f>
        <v>0.259259259259259</v>
      </c>
      <c r="I21" s="25" t="s">
        <v>125</v>
      </c>
      <c r="J21" s="25" t="s">
        <v>126</v>
      </c>
      <c r="K21" s="52" t="n">
        <f aca="false">IFERROR(Financial_Metrics!D46/Financial_Metrics!D44,"")</f>
        <v>0.18452380952381</v>
      </c>
    </row>
    <row r="22" customFormat="false" ht="122.35" hidden="false" customHeight="false" outlineLevel="0" collapsed="false">
      <c r="A22" s="23" t="s">
        <v>85</v>
      </c>
      <c r="B22" s="23" t="s">
        <v>35</v>
      </c>
      <c r="C22" s="41" t="n">
        <f aca="false">IFERROR(Financial_Metrics!E52/Financial_Metrics!E53,"")</f>
        <v>1.23076923076923</v>
      </c>
      <c r="D22" s="41" t="n">
        <f aca="false">IFERROR(Financial_Metrics!E46/Financial_Metrics!E56,"")</f>
        <v>5.928</v>
      </c>
      <c r="E22" s="49" t="s">
        <v>123</v>
      </c>
      <c r="F22" s="50" t="s">
        <v>124</v>
      </c>
      <c r="G22" s="51" t="n">
        <f aca="false">IFERROR(Financial_Metrics!E51/Financial_Metrics!E44,"")</f>
        <v>0.146942017474186</v>
      </c>
      <c r="H22" s="51" t="n">
        <f aca="false">IFERROR(Financial_Metrics!E49/Financial_Metrics!E55,"")</f>
        <v>0.274193548387097</v>
      </c>
      <c r="I22" s="25" t="s">
        <v>125</v>
      </c>
      <c r="J22" s="25" t="s">
        <v>126</v>
      </c>
      <c r="K22" s="52" t="n">
        <f aca="false">IFERROR(Financial_Metrics!E46/Financial_Metrics!E44,"")</f>
        <v>0.14714058776807</v>
      </c>
    </row>
    <row r="23" customFormat="false" ht="122.35" hidden="false" customHeight="false" outlineLevel="0" collapsed="false">
      <c r="A23" s="23" t="s">
        <v>85</v>
      </c>
      <c r="B23" s="23" t="s">
        <v>36</v>
      </c>
      <c r="C23" s="41" t="n">
        <f aca="false">IFERROR(Financial_Metrics!F52/Financial_Metrics!F53,"")</f>
        <v>1.22608695652174</v>
      </c>
      <c r="D23" s="41" t="n">
        <f aca="false">IFERROR(Financial_Metrics!F46/Financial_Metrics!F56,"")</f>
        <v>5.92125984251968</v>
      </c>
      <c r="E23" s="49" t="s">
        <v>123</v>
      </c>
      <c r="F23" s="50" t="s">
        <v>124</v>
      </c>
      <c r="G23" s="51" t="n">
        <f aca="false">IFERROR(Financial_Metrics!F51/Financial_Metrics!F44,"")</f>
        <v>0.128083080917352</v>
      </c>
      <c r="H23" s="51" t="n">
        <f aca="false">IFERROR(Financial_Metrics!F49/Financial_Metrics!F55,"")</f>
        <v>0.25</v>
      </c>
      <c r="I23" s="25" t="s">
        <v>125</v>
      </c>
      <c r="J23" s="25" t="s">
        <v>126</v>
      </c>
      <c r="K23" s="52" t="n">
        <f aca="false">IFERROR(Financial_Metrics!F46/Financial_Metrics!F44,"")</f>
        <v>0.19524015577672</v>
      </c>
    </row>
    <row r="24" customFormat="false" ht="122.35" hidden="false" customHeight="false" outlineLevel="0" collapsed="false">
      <c r="A24" s="23" t="s">
        <v>85</v>
      </c>
      <c r="B24" s="23" t="s">
        <v>37</v>
      </c>
      <c r="C24" s="41" t="n">
        <f aca="false">IFERROR(Financial_Metrics!G52/Financial_Metrics!G53,"")</f>
        <v>1.25</v>
      </c>
      <c r="D24" s="41" t="n">
        <f aca="false">IFERROR(Financial_Metrics!G46/Financial_Metrics!G56,"")</f>
        <v>3.92801251956181</v>
      </c>
      <c r="E24" s="49" t="s">
        <v>123</v>
      </c>
      <c r="F24" s="50" t="s">
        <v>124</v>
      </c>
      <c r="G24" s="51" t="n">
        <f aca="false">IFERROR(Financial_Metrics!G51/Financial_Metrics!G44,"")</f>
        <v>0.150624013771338</v>
      </c>
      <c r="H24" s="51" t="n">
        <f aca="false">IFERROR(Financial_Metrics!G49/Financial_Metrics!G55,"")</f>
        <v>0.30379746835443</v>
      </c>
      <c r="I24" s="25" t="s">
        <v>125</v>
      </c>
      <c r="J24" s="25" t="s">
        <v>126</v>
      </c>
      <c r="K24" s="52" t="n">
        <f aca="false">IFERROR(Financial_Metrics!G46/Financial_Metrics!G44,"")</f>
        <v>0.180031559317171</v>
      </c>
    </row>
    <row r="25" customFormat="false" ht="122.35" hidden="false" customHeight="false" outlineLevel="0" collapsed="false">
      <c r="A25" s="23" t="s">
        <v>85</v>
      </c>
      <c r="B25" s="23" t="s">
        <v>38</v>
      </c>
      <c r="C25" s="41" t="n">
        <f aca="false">IFERROR(Financial_Metrics!H52/Financial_Metrics!H53,"")</f>
        <v>1.24657534246575</v>
      </c>
      <c r="D25" s="41" t="n">
        <f aca="false">IFERROR(Financial_Metrics!H46/Financial_Metrics!H56,"")</f>
        <v>8.61111111111111</v>
      </c>
      <c r="E25" s="49" t="s">
        <v>123</v>
      </c>
      <c r="F25" s="50" t="s">
        <v>124</v>
      </c>
      <c r="G25" s="51" t="n">
        <f aca="false">IFERROR(Financial_Metrics!H51/Financial_Metrics!H44,"")</f>
        <v>0.158730158730159</v>
      </c>
      <c r="H25" s="51" t="n">
        <f aca="false">IFERROR(Financial_Metrics!H49/Financial_Metrics!H55,"")</f>
        <v>0.327586206896552</v>
      </c>
      <c r="I25" s="25" t="s">
        <v>125</v>
      </c>
      <c r="J25" s="25" t="s">
        <v>126</v>
      </c>
      <c r="K25" s="52" t="n">
        <f aca="false">IFERROR(Financial_Metrics!H46/Financial_Metrics!H44,"")</f>
        <v>0.196825396825397</v>
      </c>
    </row>
    <row r="26" customFormat="false" ht="122.35" hidden="false" customHeight="false" outlineLevel="0" collapsed="false">
      <c r="A26" s="36" t="s">
        <v>91</v>
      </c>
      <c r="B26" s="36" t="s">
        <v>33</v>
      </c>
      <c r="C26" s="47" t="n">
        <f aca="false">IFERROR(Financial_Metrics!C66/Financial_Metrics!C67,"")</f>
        <v>1.36842105263158</v>
      </c>
      <c r="D26" s="47" t="n">
        <f aca="false">IFERROR(Financial_Metrics!C60/Financial_Metrics!C70,"")</f>
        <v>7.5</v>
      </c>
      <c r="E26" s="53" t="s">
        <v>123</v>
      </c>
      <c r="F26" s="54" t="s">
        <v>124</v>
      </c>
      <c r="G26" s="55" t="n">
        <f aca="false">IFERROR(Financial_Metrics!C65/Financial_Metrics!C58,"")</f>
        <v>0.213114754098361</v>
      </c>
      <c r="H26" s="55" t="n">
        <f aca="false">IFERROR(Financial_Metrics!C63/Financial_Metrics!C69,"")</f>
        <v>0.25</v>
      </c>
      <c r="I26" s="38" t="s">
        <v>125</v>
      </c>
      <c r="J26" s="38" t="s">
        <v>126</v>
      </c>
      <c r="K26" s="56" t="n">
        <f aca="false">IFERROR(Financial_Metrics!C60/Financial_Metrics!C58,"")</f>
        <v>0.245901639344262</v>
      </c>
    </row>
    <row r="27" customFormat="false" ht="122.35" hidden="false" customHeight="false" outlineLevel="0" collapsed="false">
      <c r="A27" s="23" t="s">
        <v>91</v>
      </c>
      <c r="B27" s="23" t="s">
        <v>34</v>
      </c>
      <c r="C27" s="41" t="n">
        <f aca="false">IFERROR(Financial_Metrics!D66/Financial_Metrics!D67,"")</f>
        <v>1.38095238095238</v>
      </c>
      <c r="D27" s="41" t="n">
        <f aca="false">IFERROR(Financial_Metrics!D60/Financial_Metrics!D70,"")</f>
        <v>8.18181818181818</v>
      </c>
      <c r="E27" s="49" t="s">
        <v>123</v>
      </c>
      <c r="F27" s="50" t="s">
        <v>124</v>
      </c>
      <c r="G27" s="51" t="n">
        <f aca="false">IFERROR(Financial_Metrics!D65/Financial_Metrics!D58,"")</f>
        <v>0.217142857142857</v>
      </c>
      <c r="H27" s="51" t="n">
        <f aca="false">IFERROR(Financial_Metrics!D63/Financial_Metrics!D69,"")</f>
        <v>0.264516129032258</v>
      </c>
      <c r="I27" s="25" t="s">
        <v>125</v>
      </c>
      <c r="J27" s="25" t="s">
        <v>126</v>
      </c>
      <c r="K27" s="52" t="n">
        <f aca="false">IFERROR(Financial_Metrics!D60/Financial_Metrics!D58,"")</f>
        <v>0.257142857142857</v>
      </c>
    </row>
    <row r="28" customFormat="false" ht="122.35" hidden="false" customHeight="false" outlineLevel="0" collapsed="false">
      <c r="A28" s="23" t="s">
        <v>91</v>
      </c>
      <c r="B28" s="23" t="s">
        <v>35</v>
      </c>
      <c r="C28" s="41" t="n">
        <f aca="false">IFERROR(Financial_Metrics!E66/Financial_Metrics!E67,"")</f>
        <v>1.39130434782609</v>
      </c>
      <c r="D28" s="41" t="n">
        <f aca="false">IFERROR(Financial_Metrics!E60/Financial_Metrics!E70,"")</f>
        <v>7.03157894736842</v>
      </c>
      <c r="E28" s="49" t="s">
        <v>123</v>
      </c>
      <c r="F28" s="50" t="s">
        <v>124</v>
      </c>
      <c r="G28" s="51" t="n">
        <f aca="false">IFERROR(Financial_Metrics!E65/Financial_Metrics!E58,"")</f>
        <v>0.20671834625323</v>
      </c>
      <c r="H28" s="51" t="n">
        <f aca="false">IFERROR(Financial_Metrics!E63/Financial_Metrics!E69,"")</f>
        <v>0.279411764705882</v>
      </c>
      <c r="I28" s="25" t="s">
        <v>125</v>
      </c>
      <c r="J28" s="25" t="s">
        <v>126</v>
      </c>
      <c r="K28" s="52" t="n">
        <f aca="false">IFERROR(Financial_Metrics!E60/Financial_Metrics!E58,"")</f>
        <v>0.313836034766267</v>
      </c>
    </row>
    <row r="29" customFormat="false" ht="122.35" hidden="false" customHeight="false" outlineLevel="0" collapsed="false">
      <c r="A29" s="23" t="s">
        <v>91</v>
      </c>
      <c r="B29" s="23" t="s">
        <v>36</v>
      </c>
      <c r="C29" s="41" t="n">
        <f aca="false">IFERROR(Financial_Metrics!F66/Financial_Metrics!F67,"")</f>
        <v>1.3921568627451</v>
      </c>
      <c r="D29" s="41" t="n">
        <f aca="false">IFERROR(Financial_Metrics!F60/Financial_Metrics!F70,"")</f>
        <v>7.75129533678757</v>
      </c>
      <c r="E29" s="49" t="s">
        <v>123</v>
      </c>
      <c r="F29" s="50" t="s">
        <v>124</v>
      </c>
      <c r="G29" s="51" t="n">
        <f aca="false">IFERROR(Financial_Metrics!F65/Financial_Metrics!F58,"")</f>
        <v>0.201873048907388</v>
      </c>
      <c r="H29" s="51" t="n">
        <f aca="false">IFERROR(Financial_Metrics!F63/Financial_Metrics!F69,"")</f>
        <v>0.283783783783784</v>
      </c>
      <c r="I29" s="25" t="s">
        <v>125</v>
      </c>
      <c r="J29" s="25" t="s">
        <v>126</v>
      </c>
      <c r="K29" s="52" t="n">
        <f aca="false">IFERROR(Financial_Metrics!F60/Financial_Metrics!F58,"")</f>
        <v>0.311342351716962</v>
      </c>
    </row>
    <row r="30" customFormat="false" ht="122.35" hidden="false" customHeight="false" outlineLevel="0" collapsed="false">
      <c r="A30" s="23" t="s">
        <v>91</v>
      </c>
      <c r="B30" s="23" t="s">
        <v>37</v>
      </c>
      <c r="C30" s="41" t="n">
        <f aca="false">IFERROR(Financial_Metrics!G66/Financial_Metrics!G67,"")</f>
        <v>1.41269841269841</v>
      </c>
      <c r="D30" s="41" t="n">
        <f aca="false">IFERROR(Financial_Metrics!G60/Financial_Metrics!G70,"")</f>
        <v>5.61616161616162</v>
      </c>
      <c r="E30" s="49" t="s">
        <v>123</v>
      </c>
      <c r="F30" s="50" t="s">
        <v>124</v>
      </c>
      <c r="G30" s="51" t="n">
        <f aca="false">IFERROR(Financial_Metrics!G65/Financial_Metrics!G58,"")</f>
        <v>0.218569976279227</v>
      </c>
      <c r="H30" s="51" t="n">
        <f aca="false">IFERROR(Financial_Metrics!G63/Financial_Metrics!G69,"")</f>
        <v>0.311111111111111</v>
      </c>
      <c r="I30" s="25" t="s">
        <v>125</v>
      </c>
      <c r="J30" s="25" t="s">
        <v>126</v>
      </c>
      <c r="K30" s="52" t="n">
        <f aca="false">IFERROR(Financial_Metrics!G60/Financial_Metrics!G58,"")</f>
        <v>0.282616062351745</v>
      </c>
    </row>
    <row r="31" customFormat="false" ht="122.35" hidden="false" customHeight="false" outlineLevel="0" collapsed="false">
      <c r="A31" s="23" t="s">
        <v>91</v>
      </c>
      <c r="B31" s="23" t="s">
        <v>38</v>
      </c>
      <c r="C31" s="41" t="n">
        <f aca="false">IFERROR(Financial_Metrics!H66/Financial_Metrics!H67,"")</f>
        <v>1.42028985507246</v>
      </c>
      <c r="D31" s="41" t="n">
        <f aca="false">IFERROR(Financial_Metrics!H60/Financial_Metrics!H70,"")</f>
        <v>10.8823529411765</v>
      </c>
      <c r="E31" s="49" t="s">
        <v>123</v>
      </c>
      <c r="F31" s="50" t="s">
        <v>124</v>
      </c>
      <c r="G31" s="51" t="n">
        <f aca="false">IFERROR(Financial_Metrics!H65/Financial_Metrics!H58,"")</f>
        <v>0.228228228228228</v>
      </c>
      <c r="H31" s="51" t="n">
        <f aca="false">IFERROR(Financial_Metrics!H63/Financial_Metrics!H69,"")</f>
        <v>0.336734693877551</v>
      </c>
      <c r="I31" s="25" t="s">
        <v>125</v>
      </c>
      <c r="J31" s="25" t="s">
        <v>126</v>
      </c>
      <c r="K31" s="52" t="n">
        <f aca="false">IFERROR(Financial_Metrics!H60/Financial_Metrics!H58,"")</f>
        <v>0.277777777777778</v>
      </c>
    </row>
  </sheetData>
  <autoFilter ref="A1:K31"/>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A1:P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22" width="12"/>
    <col collapsed="false" customWidth="true" hidden="false" outlineLevel="0" max="4" min="2" style="22" width="16"/>
    <col collapsed="false" customWidth="true" hidden="false" outlineLevel="0" max="7" min="5" style="22" width="14"/>
    <col collapsed="false" customWidth="true" hidden="false" outlineLevel="0" max="8" min="8" style="22" width="18"/>
    <col collapsed="false" customWidth="true" hidden="false" outlineLevel="0" max="9" min="9" style="22" width="16"/>
    <col collapsed="false" customWidth="true" hidden="false" outlineLevel="0" max="10" min="10" style="22" width="14"/>
    <col collapsed="false" customWidth="true" hidden="false" outlineLevel="0" max="11" min="11" style="22" width="48"/>
    <col collapsed="false" customWidth="true" hidden="false" outlineLevel="0" max="13" min="12" style="22" width="16"/>
    <col collapsed="false" customWidth="true" hidden="false" outlineLevel="0" max="14" min="14" style="22" width="18"/>
    <col collapsed="false" customWidth="true" hidden="false" outlineLevel="0" max="16" min="15" style="22" width="48"/>
  </cols>
  <sheetData>
    <row r="1" customFormat="false" ht="31.5" hidden="false" customHeight="true" outlineLevel="0" collapsed="false">
      <c r="A1" s="3" t="s">
        <v>2</v>
      </c>
      <c r="B1" s="3" t="s">
        <v>127</v>
      </c>
      <c r="C1" s="3" t="s">
        <v>128</v>
      </c>
      <c r="D1" s="3" t="s">
        <v>129</v>
      </c>
      <c r="E1" s="3" t="s">
        <v>59</v>
      </c>
      <c r="F1" s="3" t="s">
        <v>72</v>
      </c>
      <c r="G1" s="3" t="s">
        <v>130</v>
      </c>
      <c r="H1" s="3" t="s">
        <v>131</v>
      </c>
      <c r="I1" s="3" t="s">
        <v>132</v>
      </c>
      <c r="J1" s="3" t="s">
        <v>133</v>
      </c>
      <c r="K1" s="3" t="s">
        <v>134</v>
      </c>
      <c r="L1" s="3" t="s">
        <v>135</v>
      </c>
      <c r="M1" s="3" t="s">
        <v>136</v>
      </c>
      <c r="N1" s="3" t="s">
        <v>137</v>
      </c>
      <c r="O1" s="3" t="s">
        <v>138</v>
      </c>
      <c r="P1" s="3" t="s">
        <v>139</v>
      </c>
    </row>
    <row r="2" customFormat="false" ht="41.75" hidden="false" customHeight="false" outlineLevel="0" collapsed="false">
      <c r="A2" s="23" t="s">
        <v>43</v>
      </c>
      <c r="B2" s="40" t="n">
        <f aca="false">Financial_Metrics!G2</f>
        <v>9.708</v>
      </c>
      <c r="C2" s="40" t="n">
        <f aca="false">Financial_Metrics!G4</f>
        <v>2.234</v>
      </c>
      <c r="D2" s="40" t="n">
        <f aca="false">Financial_Metrics!G5</f>
        <v>1.605</v>
      </c>
      <c r="E2" s="57" t="n">
        <f aca="false">IFERROR(D2/B2,"")</f>
        <v>0.165327564894932</v>
      </c>
      <c r="F2" s="41" t="n">
        <f aca="false">Financial_Metrics!G12</f>
        <v>1.20494144530134</v>
      </c>
      <c r="G2" s="58" t="n">
        <f aca="false">IFERROR(Financial_Metrics!G13/B2,"")</f>
        <v>0.7110630407911</v>
      </c>
      <c r="H2" s="40" t="n">
        <f aca="false">Financial_Metrics!G7</f>
        <v>1.775</v>
      </c>
      <c r="I2" s="40" t="n">
        <f aca="false">Financial_Metrics!G9</f>
        <v>1.546</v>
      </c>
      <c r="J2" s="57" t="n">
        <f aca="false">IFERROR(I2/B2,"")</f>
        <v>0.159250103007829</v>
      </c>
      <c r="K2" s="25" t="s">
        <v>140</v>
      </c>
      <c r="L2" s="40" t="n">
        <f aca="false">Stress_Test_Matrix!E3</f>
        <v>1.95475</v>
      </c>
      <c r="M2" s="40" t="n">
        <f aca="false">Stress_Test_Matrix!E4</f>
        <v>1.6755</v>
      </c>
      <c r="N2" s="41" t="n">
        <f aca="false">Stress_Test_Matrix!F4</f>
        <v>6.44423076923077</v>
      </c>
      <c r="O2" s="25" t="s">
        <v>141</v>
      </c>
      <c r="P2" s="25" t="s">
        <v>142</v>
      </c>
    </row>
    <row r="3" customFormat="false" ht="41.75" hidden="false" customHeight="false" outlineLevel="0" collapsed="false">
      <c r="A3" s="23" t="s">
        <v>78</v>
      </c>
      <c r="B3" s="40" t="n">
        <f aca="false">Financial_Metrics!G16</f>
        <v>17.181</v>
      </c>
      <c r="C3" s="40" t="n">
        <f aca="false">Financial_Metrics!G18</f>
        <v>4.344</v>
      </c>
      <c r="D3" s="40" t="n">
        <f aca="false">Financial_Metrics!G19</f>
        <v>3.695</v>
      </c>
      <c r="E3" s="57" t="n">
        <f aca="false">IFERROR(D3/B3,"")</f>
        <v>0.215063151155346</v>
      </c>
      <c r="F3" s="41" t="n">
        <f aca="false">Financial_Metrics!G26</f>
        <v>0.952662721893491</v>
      </c>
      <c r="G3" s="58" t="n">
        <f aca="false">IFERROR(Financial_Metrics!G27/B3,"")</f>
        <v>0.843955532274024</v>
      </c>
      <c r="H3" s="40" t="n">
        <f aca="false">Financial_Metrics!G21</f>
        <v>3.5</v>
      </c>
      <c r="I3" s="40" t="n">
        <f aca="false">Financial_Metrics!G23</f>
        <v>2.85</v>
      </c>
      <c r="J3" s="57" t="n">
        <f aca="false">IFERROR(I3/B3,"")</f>
        <v>0.165880914964205</v>
      </c>
      <c r="K3" s="25" t="s">
        <v>140</v>
      </c>
      <c r="L3" s="40" t="n">
        <f aca="false">Stress_Test_Matrix!E7</f>
        <v>3.801</v>
      </c>
      <c r="M3" s="40" t="n">
        <f aca="false">Stress_Test_Matrix!E8</f>
        <v>3.258</v>
      </c>
      <c r="N3" s="41" t="n">
        <f aca="false">Stress_Test_Matrix!F8</f>
        <v>3.99754601226994</v>
      </c>
      <c r="O3" s="25" t="s">
        <v>141</v>
      </c>
      <c r="P3" s="25" t="s">
        <v>142</v>
      </c>
    </row>
    <row r="4" customFormat="false" ht="41.75" hidden="false" customHeight="false" outlineLevel="0" collapsed="false">
      <c r="A4" s="23" t="s">
        <v>83</v>
      </c>
      <c r="B4" s="40" t="n">
        <f aca="false">Financial_Metrics!G30</f>
        <v>26.981</v>
      </c>
      <c r="C4" s="40" t="n">
        <f aca="false">Financial_Metrics!G32</f>
        <v>6.223</v>
      </c>
      <c r="D4" s="40" t="n">
        <f aca="false">Financial_Metrics!G33</f>
        <v>4.16</v>
      </c>
      <c r="E4" s="57" t="n">
        <f aca="false">IFERROR(D4/B4,"")</f>
        <v>0.154182572921686</v>
      </c>
      <c r="F4" s="41" t="n">
        <f aca="false">Financial_Metrics!G40</f>
        <v>1.19047619047619</v>
      </c>
      <c r="G4" s="58" t="n">
        <f aca="false">IFERROR(Financial_Metrics!G41/B4,"")</f>
        <v>0.496645787776584</v>
      </c>
      <c r="H4" s="40" t="n">
        <f aca="false">Financial_Metrics!G35</f>
        <v>5.3</v>
      </c>
      <c r="I4" s="40" t="n">
        <f aca="false">Financial_Metrics!G37</f>
        <v>4.6</v>
      </c>
      <c r="J4" s="57" t="n">
        <f aca="false">IFERROR(I4/B4,"")</f>
        <v>0.170490345057633</v>
      </c>
      <c r="K4" s="25" t="s">
        <v>140</v>
      </c>
      <c r="L4" s="40" t="n">
        <f aca="false">Stress_Test_Matrix!E11</f>
        <v>5.445125</v>
      </c>
      <c r="M4" s="40" t="n">
        <f aca="false">Stress_Test_Matrix!E12</f>
        <v>4.66725</v>
      </c>
      <c r="N4" s="41" t="n">
        <f aca="false">Stress_Test_Matrix!F12</f>
        <v>4.86171875</v>
      </c>
      <c r="O4" s="25" t="s">
        <v>141</v>
      </c>
      <c r="P4" s="25" t="s">
        <v>142</v>
      </c>
    </row>
    <row r="5" customFormat="false" ht="28.35" hidden="false" customHeight="false" outlineLevel="0" collapsed="false">
      <c r="A5" s="23" t="s">
        <v>85</v>
      </c>
      <c r="B5" s="40" t="n">
        <f aca="false">Financial_Metrics!G44</f>
        <v>13.942</v>
      </c>
      <c r="C5" s="40" t="n">
        <f aca="false">Financial_Metrics!G46</f>
        <v>2.51</v>
      </c>
      <c r="D5" s="40" t="n">
        <f aca="false">Financial_Metrics!G47</f>
        <v>1.494</v>
      </c>
      <c r="E5" s="57" t="n">
        <f aca="false">IFERROR(D5/B5,"")</f>
        <v>0.107158226940181</v>
      </c>
      <c r="F5" s="41" t="n">
        <f aca="false">Financial_Metrics!G54</f>
        <v>1.25</v>
      </c>
      <c r="G5" s="58" t="n">
        <f aca="false">IFERROR(Financial_Metrics!G55/B5,"")</f>
        <v>0.566633194663606</v>
      </c>
      <c r="H5" s="40" t="n">
        <f aca="false">Financial_Metrics!G49</f>
        <v>2.4</v>
      </c>
      <c r="I5" s="40" t="n">
        <f aca="false">Financial_Metrics!G51</f>
        <v>2.1</v>
      </c>
      <c r="J5" s="57" t="n">
        <f aca="false">IFERROR(I5/B5,"")</f>
        <v>0.150624013771338</v>
      </c>
      <c r="K5" s="25" t="s">
        <v>143</v>
      </c>
      <c r="L5" s="40" t="n">
        <f aca="false">Stress_Test_Matrix!E15</f>
        <v>2.19625</v>
      </c>
      <c r="M5" s="40" t="n">
        <f aca="false">Stress_Test_Matrix!E16</f>
        <v>1.8825</v>
      </c>
      <c r="N5" s="41" t="n">
        <f aca="false">Stress_Test_Matrix!F16</f>
        <v>2.94600938967136</v>
      </c>
      <c r="O5" s="25" t="s">
        <v>141</v>
      </c>
      <c r="P5" s="25" t="s">
        <v>142</v>
      </c>
    </row>
    <row r="6" customFormat="false" ht="28.35" hidden="false" customHeight="false" outlineLevel="0" collapsed="false">
      <c r="A6" s="23" t="s">
        <v>91</v>
      </c>
      <c r="B6" s="40" t="n">
        <f aca="false">Financial_Metrics!G58</f>
        <v>5.902</v>
      </c>
      <c r="C6" s="40" t="n">
        <f aca="false">Financial_Metrics!G60</f>
        <v>1.668</v>
      </c>
      <c r="D6" s="40" t="n">
        <f aca="false">Financial_Metrics!G61</f>
        <v>1.054</v>
      </c>
      <c r="E6" s="57" t="n">
        <f aca="false">IFERROR(D6/B6,"")</f>
        <v>0.178583531006439</v>
      </c>
      <c r="F6" s="41" t="n">
        <f aca="false">Financial_Metrics!G68</f>
        <v>1.41269841269841</v>
      </c>
      <c r="G6" s="58" t="n">
        <f aca="false">IFERROR(Financial_Metrics!G69/B6,"")</f>
        <v>0.762453405625212</v>
      </c>
      <c r="H6" s="40" t="n">
        <f aca="false">Financial_Metrics!G63</f>
        <v>1.4</v>
      </c>
      <c r="I6" s="40" t="n">
        <f aca="false">Financial_Metrics!G65</f>
        <v>1.29</v>
      </c>
      <c r="J6" s="57" t="n">
        <f aca="false">IFERROR(I6/B6,"")</f>
        <v>0.218569976279227</v>
      </c>
      <c r="K6" s="25" t="s">
        <v>143</v>
      </c>
      <c r="L6" s="40" t="n">
        <f aca="false">Stress_Test_Matrix!E19</f>
        <v>1.4595</v>
      </c>
      <c r="M6" s="40" t="n">
        <f aca="false">Stress_Test_Matrix!E20</f>
        <v>1.251</v>
      </c>
      <c r="N6" s="41" t="n">
        <f aca="false">Stress_Test_Matrix!F20</f>
        <v>4.21212121212121</v>
      </c>
      <c r="O6" s="25" t="s">
        <v>141</v>
      </c>
      <c r="P6" s="25" t="s">
        <v>142</v>
      </c>
    </row>
    <row r="7" customFormat="false" ht="15" hidden="false" customHeight="true" outlineLevel="0" collapsed="false">
      <c r="A7" s="59"/>
      <c r="B7" s="59"/>
      <c r="C7" s="59"/>
      <c r="D7" s="59"/>
      <c r="E7" s="59"/>
      <c r="F7" s="59"/>
      <c r="G7" s="59"/>
      <c r="H7" s="59"/>
      <c r="I7" s="26"/>
      <c r="J7" s="26"/>
      <c r="K7" s="26"/>
      <c r="L7" s="26"/>
      <c r="M7" s="26"/>
      <c r="N7" s="26"/>
      <c r="O7" s="59"/>
      <c r="P7" s="59"/>
    </row>
    <row r="8" customFormat="false" ht="33.75" hidden="false" customHeight="true" outlineLevel="0" collapsed="false">
      <c r="A8" s="60" t="s">
        <v>144</v>
      </c>
      <c r="B8" s="61" t="s">
        <v>145</v>
      </c>
      <c r="C8" s="61"/>
      <c r="D8" s="61"/>
      <c r="E8" s="61"/>
      <c r="F8" s="61"/>
      <c r="G8" s="61"/>
      <c r="H8" s="61"/>
      <c r="I8" s="61"/>
      <c r="J8" s="61"/>
      <c r="K8" s="61"/>
      <c r="L8" s="26"/>
      <c r="M8" s="26"/>
      <c r="N8" s="26"/>
      <c r="O8" s="59"/>
      <c r="P8" s="59"/>
    </row>
  </sheetData>
  <autoFilter ref="A1:P6"/>
  <mergeCells count="1">
    <mergeCell ref="B8:K8"/>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tru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22" width="18"/>
    <col collapsed="false" customWidth="true" hidden="false" outlineLevel="0" max="2" min="2" style="22" width="28"/>
    <col collapsed="false" customWidth="true" hidden="false" outlineLevel="0" max="3" min="3" style="22" width="36"/>
    <col collapsed="false" customWidth="true" hidden="false" outlineLevel="0" max="4" min="4" style="22" width="70"/>
    <col collapsed="false" customWidth="true" hidden="false" outlineLevel="0" max="5" min="5" style="22" width="76"/>
    <col collapsed="false" customWidth="true" hidden="false" outlineLevel="0" max="6" min="6" style="22" width="22"/>
  </cols>
  <sheetData>
    <row r="1" customFormat="false" ht="31.5" hidden="false" customHeight="true" outlineLevel="0" collapsed="false">
      <c r="A1" s="3" t="s">
        <v>146</v>
      </c>
      <c r="B1" s="3" t="s">
        <v>147</v>
      </c>
      <c r="C1" s="3" t="s">
        <v>148</v>
      </c>
      <c r="D1" s="3" t="s">
        <v>149</v>
      </c>
      <c r="E1" s="3" t="s">
        <v>150</v>
      </c>
      <c r="F1" s="3" t="s">
        <v>151</v>
      </c>
    </row>
    <row r="2" customFormat="false" ht="28.35" hidden="false" customHeight="false" outlineLevel="0" collapsed="false">
      <c r="A2" s="62" t="s">
        <v>152</v>
      </c>
      <c r="B2" s="62" t="s">
        <v>153</v>
      </c>
      <c r="C2" s="62" t="s">
        <v>154</v>
      </c>
      <c r="D2" s="62" t="s">
        <v>155</v>
      </c>
      <c r="E2" s="62" t="s">
        <v>156</v>
      </c>
      <c r="F2" s="62" t="s">
        <v>30</v>
      </c>
    </row>
    <row r="3" customFormat="false" ht="41.75" hidden="false" customHeight="false" outlineLevel="0" collapsed="false">
      <c r="A3" s="62" t="s">
        <v>157</v>
      </c>
      <c r="B3" s="62" t="s">
        <v>158</v>
      </c>
      <c r="C3" s="62" t="s">
        <v>159</v>
      </c>
      <c r="D3" s="62" t="s">
        <v>160</v>
      </c>
      <c r="E3" s="62" t="s">
        <v>161</v>
      </c>
      <c r="F3" s="62" t="s">
        <v>162</v>
      </c>
    </row>
    <row r="4" customFormat="false" ht="41.75" hidden="false" customHeight="false" outlineLevel="0" collapsed="false">
      <c r="A4" s="62" t="s">
        <v>163</v>
      </c>
      <c r="B4" s="62" t="s">
        <v>164</v>
      </c>
      <c r="C4" s="62" t="s">
        <v>165</v>
      </c>
      <c r="D4" s="62" t="s">
        <v>166</v>
      </c>
      <c r="E4" s="62" t="s">
        <v>167</v>
      </c>
      <c r="F4" s="62" t="s">
        <v>168</v>
      </c>
    </row>
    <row r="5" customFormat="false" ht="28.35" hidden="false" customHeight="false" outlineLevel="0" collapsed="false">
      <c r="A5" s="62" t="s">
        <v>152</v>
      </c>
      <c r="B5" s="62" t="s">
        <v>169</v>
      </c>
      <c r="C5" s="62" t="s">
        <v>170</v>
      </c>
      <c r="D5" s="62" t="s">
        <v>171</v>
      </c>
      <c r="E5" s="62" t="s">
        <v>172</v>
      </c>
      <c r="F5" s="62" t="s">
        <v>30</v>
      </c>
    </row>
    <row r="6" customFormat="false" ht="28.35" hidden="false" customHeight="false" outlineLevel="0" collapsed="false">
      <c r="A6" s="62" t="s">
        <v>152</v>
      </c>
      <c r="B6" s="62" t="s">
        <v>173</v>
      </c>
      <c r="C6" s="62" t="s">
        <v>174</v>
      </c>
      <c r="D6" s="62" t="s">
        <v>175</v>
      </c>
      <c r="E6" s="62" t="s">
        <v>176</v>
      </c>
      <c r="F6" s="62" t="s">
        <v>162</v>
      </c>
    </row>
    <row r="7" customFormat="false" ht="28.35" hidden="false" customHeight="false" outlineLevel="0" collapsed="false">
      <c r="A7" s="62" t="s">
        <v>177</v>
      </c>
      <c r="B7" s="62" t="s">
        <v>178</v>
      </c>
      <c r="C7" s="62" t="s">
        <v>179</v>
      </c>
      <c r="D7" s="62" t="s">
        <v>180</v>
      </c>
      <c r="E7" s="62" t="s">
        <v>181</v>
      </c>
      <c r="F7" s="62" t="s">
        <v>162</v>
      </c>
    </row>
    <row r="8" customFormat="false" ht="28.35" hidden="false" customHeight="false" outlineLevel="0" collapsed="false">
      <c r="A8" s="62" t="s">
        <v>163</v>
      </c>
      <c r="B8" s="62" t="s">
        <v>182</v>
      </c>
      <c r="C8" s="62" t="s">
        <v>183</v>
      </c>
      <c r="D8" s="62" t="s">
        <v>184</v>
      </c>
      <c r="E8" s="62" t="s">
        <v>185</v>
      </c>
      <c r="F8" s="62" t="s">
        <v>163</v>
      </c>
    </row>
    <row r="9" customFormat="false" ht="28.35" hidden="false" customHeight="false" outlineLevel="0" collapsed="false">
      <c r="A9" s="62" t="s">
        <v>152</v>
      </c>
      <c r="B9" s="62" t="s">
        <v>186</v>
      </c>
      <c r="C9" s="62" t="s">
        <v>187</v>
      </c>
      <c r="D9" s="62" t="s">
        <v>188</v>
      </c>
      <c r="E9" s="62" t="s">
        <v>189</v>
      </c>
      <c r="F9" s="62" t="s">
        <v>30</v>
      </c>
    </row>
    <row r="10" customFormat="false" ht="41.75" hidden="false" customHeight="false" outlineLevel="0" collapsed="false">
      <c r="A10" s="62" t="s">
        <v>152</v>
      </c>
      <c r="B10" s="62" t="s">
        <v>190</v>
      </c>
      <c r="C10" s="62" t="s">
        <v>191</v>
      </c>
      <c r="D10" s="62" t="s">
        <v>192</v>
      </c>
      <c r="E10" s="62" t="s">
        <v>193</v>
      </c>
      <c r="F10" s="62" t="s">
        <v>30</v>
      </c>
    </row>
    <row r="11" customFormat="false" ht="28.35" hidden="false" customHeight="false" outlineLevel="0" collapsed="false">
      <c r="A11" s="62" t="s">
        <v>177</v>
      </c>
      <c r="B11" s="62" t="s">
        <v>194</v>
      </c>
      <c r="C11" s="62" t="s">
        <v>195</v>
      </c>
      <c r="D11" s="62" t="s">
        <v>196</v>
      </c>
      <c r="E11" s="62" t="s">
        <v>197</v>
      </c>
      <c r="F11" s="62" t="s">
        <v>198</v>
      </c>
    </row>
    <row r="12" customFormat="false" ht="28.35" hidden="false" customHeight="false" outlineLevel="0" collapsed="false">
      <c r="A12" s="62" t="s">
        <v>177</v>
      </c>
      <c r="B12" s="62" t="s">
        <v>199</v>
      </c>
      <c r="C12" s="62" t="s">
        <v>200</v>
      </c>
      <c r="D12" s="62" t="s">
        <v>201</v>
      </c>
      <c r="E12" s="62" t="s">
        <v>202</v>
      </c>
      <c r="F12" s="62" t="s">
        <v>30</v>
      </c>
    </row>
    <row r="13" customFormat="false" ht="28.35" hidden="false" customHeight="false" outlineLevel="0" collapsed="false">
      <c r="A13" s="62" t="s">
        <v>177</v>
      </c>
      <c r="B13" s="62" t="s">
        <v>203</v>
      </c>
      <c r="C13" s="62" t="s">
        <v>204</v>
      </c>
      <c r="D13" s="62" t="s">
        <v>205</v>
      </c>
      <c r="E13" s="62" t="s">
        <v>206</v>
      </c>
      <c r="F13" s="62" t="s">
        <v>198</v>
      </c>
    </row>
    <row r="14" customFormat="false" ht="68.65" hidden="false" customHeight="false" outlineLevel="0" collapsed="false">
      <c r="A14" s="62" t="s">
        <v>152</v>
      </c>
      <c r="B14" s="62" t="s">
        <v>207</v>
      </c>
      <c r="C14" s="62" t="s">
        <v>208</v>
      </c>
      <c r="D14" s="62" t="s">
        <v>209</v>
      </c>
      <c r="E14" s="62" t="s">
        <v>210</v>
      </c>
      <c r="F14" s="62" t="s">
        <v>30</v>
      </c>
    </row>
    <row r="15" customFormat="false" ht="55.2" hidden="false" customHeight="false" outlineLevel="0" collapsed="false">
      <c r="A15" s="62" t="s">
        <v>177</v>
      </c>
      <c r="B15" s="62" t="s">
        <v>211</v>
      </c>
      <c r="C15" s="62" t="s">
        <v>212</v>
      </c>
      <c r="D15" s="62" t="s">
        <v>213</v>
      </c>
      <c r="E15" s="62" t="s">
        <v>214</v>
      </c>
      <c r="F15" s="62" t="s">
        <v>30</v>
      </c>
    </row>
    <row r="16" customFormat="false" ht="68.65" hidden="false" customHeight="false" outlineLevel="0" collapsed="false">
      <c r="A16" s="62" t="s">
        <v>163</v>
      </c>
      <c r="B16" s="62" t="s">
        <v>215</v>
      </c>
      <c r="C16" s="62" t="s">
        <v>216</v>
      </c>
      <c r="D16" s="62" t="s">
        <v>217</v>
      </c>
      <c r="E16" s="62" t="s">
        <v>218</v>
      </c>
      <c r="F16" s="62" t="s">
        <v>219</v>
      </c>
    </row>
    <row r="17" customFormat="false" ht="55.2" hidden="false" customHeight="false" outlineLevel="0" collapsed="false">
      <c r="A17" s="62" t="s">
        <v>152</v>
      </c>
      <c r="B17" s="62" t="s">
        <v>220</v>
      </c>
      <c r="C17" s="62" t="s">
        <v>221</v>
      </c>
      <c r="D17" s="62" t="s">
        <v>222</v>
      </c>
      <c r="E17" s="62" t="s">
        <v>223</v>
      </c>
      <c r="F17" s="62" t="s">
        <v>30</v>
      </c>
    </row>
    <row r="18" customFormat="false" ht="41.75" hidden="false" customHeight="false" outlineLevel="0" collapsed="false">
      <c r="A18" s="62" t="s">
        <v>152</v>
      </c>
      <c r="B18" s="62" t="s">
        <v>224</v>
      </c>
      <c r="C18" s="62" t="s">
        <v>225</v>
      </c>
      <c r="D18" s="62" t="s">
        <v>226</v>
      </c>
      <c r="E18" s="62" t="s">
        <v>227</v>
      </c>
      <c r="F18" s="62" t="s">
        <v>30</v>
      </c>
    </row>
    <row r="19" customFormat="false" ht="55.2" hidden="false" customHeight="false" outlineLevel="0" collapsed="false">
      <c r="A19" s="62" t="s">
        <v>152</v>
      </c>
      <c r="B19" s="62" t="s">
        <v>228</v>
      </c>
      <c r="C19" s="62" t="s">
        <v>229</v>
      </c>
      <c r="D19" s="62" t="s">
        <v>230</v>
      </c>
      <c r="E19" s="62" t="s">
        <v>231</v>
      </c>
      <c r="F19" s="62" t="s">
        <v>30</v>
      </c>
    </row>
    <row r="20" customFormat="false" ht="55.2" hidden="false" customHeight="false" outlineLevel="0" collapsed="false">
      <c r="A20" s="62" t="s">
        <v>177</v>
      </c>
      <c r="B20" s="62" t="s">
        <v>232</v>
      </c>
      <c r="C20" s="62" t="s">
        <v>233</v>
      </c>
      <c r="D20" s="62" t="s">
        <v>234</v>
      </c>
      <c r="E20" s="62" t="s">
        <v>235</v>
      </c>
      <c r="F20" s="62" t="s">
        <v>30</v>
      </c>
    </row>
  </sheetData>
  <autoFilter ref="A1:F20"/>
  <conditionalFormatting sqref="A2:A15">
    <cfRule type="cellIs" priority="2" operator="equal" aboveAverage="0" equalAverage="0" bottom="0" percent="0" rank="0" text="" dxfId="2">
      <formula>"High"</formula>
    </cfRule>
    <cfRule type="cellIs" priority="3" operator="equal" aboveAverage="0" equalAverage="0" bottom="0" percent="0" rank="0" text="" dxfId="1">
      <formula>"Medium"</formula>
    </cfRule>
    <cfRule type="expression" priority="4" aboveAverage="0" equalAverage="0" bottom="0" percent="0" rank="0" text="" dxfId="0">
      <formula>LEFT($A2,8)="Resolved"</formula>
    </cfRule>
  </conditionalFormatting>
  <conditionalFormatting sqref="F2:F15">
    <cfRule type="cellIs" priority="5" operator="equal" aboveAverage="0" equalAverage="0" bottom="0" percent="0" rank="0" text="" dxfId="2">
      <formula>"Open"</formula>
    </cfRule>
    <cfRule type="expression" priority="6" aboveAverage="0" equalAverage="0" bottom="0" percent="0" rank="0" text="" dxfId="1">
      <formula>LEFT($F2,9)="Partially"</formula>
    </cfRule>
    <cfRule type="expression" priority="7" aboveAverage="0" equalAverage="0" bottom="0" percent="0" rank="0" text="" dxfId="0">
      <formula>LEFT($F2,8)="Resolved"</formula>
    </cfRule>
    <cfRule type="expression" priority="8" aboveAverage="0" equalAverage="0" bottom="0" percent="0" rank="0" text="" dxfId="13">
      <formula>LEFT($F2,10)="Documented"</formula>
    </cfRule>
  </conditionalFormatting>
  <conditionalFormatting sqref="A16:A20">
    <cfRule type="cellIs" priority="9" operator="equal" aboveAverage="0" equalAverage="0" bottom="0" percent="0" rank="0" text="" dxfId="2">
      <formula>"High"</formula>
    </cfRule>
    <cfRule type="cellIs" priority="10" operator="equal" aboveAverage="0" equalAverage="0" bottom="0" percent="0" rank="0" text="" dxfId="1">
      <formula>"Medium"</formula>
    </cfRule>
    <cfRule type="expression" priority="11" aboveAverage="0" equalAverage="0" bottom="0" percent="0" rank="0" text="" dxfId="0">
      <formula>LEFT($A16,8)="Resolved"</formula>
    </cfRule>
  </conditionalFormatting>
  <conditionalFormatting sqref="F16:F20">
    <cfRule type="cellIs" priority="12" operator="equal" aboveAverage="0" equalAverage="0" bottom="0" percent="0" rank="0" text="" dxfId="2">
      <formula>"Open"</formula>
    </cfRule>
    <cfRule type="expression" priority="13" aboveAverage="0" equalAverage="0" bottom="0" percent="0" rank="0" text="" dxfId="0">
      <formula>LEFT($F16,8)="Resolved"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true"/>
  </sheetPr>
  <dimension ref="A1:C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22" width="28"/>
    <col collapsed="false" customWidth="true" hidden="false" outlineLevel="0" max="3" min="2" style="22" width="95"/>
  </cols>
  <sheetData>
    <row r="1" customFormat="false" ht="31.5" hidden="false" customHeight="true" outlineLevel="0" collapsed="false">
      <c r="A1" s="3" t="s">
        <v>236</v>
      </c>
      <c r="B1" s="3" t="s">
        <v>237</v>
      </c>
      <c r="C1" s="3" t="s">
        <v>238</v>
      </c>
    </row>
    <row r="2" customFormat="false" ht="28.35" hidden="false" customHeight="false" outlineLevel="0" collapsed="false">
      <c r="A2" s="29" t="s">
        <v>239</v>
      </c>
      <c r="B2" s="25" t="s">
        <v>240</v>
      </c>
      <c r="C2" s="25" t="s">
        <v>241</v>
      </c>
    </row>
    <row r="3" customFormat="false" ht="15" hidden="false" customHeight="false" outlineLevel="0" collapsed="false">
      <c r="A3" s="29" t="s">
        <v>242</v>
      </c>
      <c r="B3" s="25" t="s">
        <v>243</v>
      </c>
      <c r="C3" s="25" t="s">
        <v>244</v>
      </c>
    </row>
    <row r="4" customFormat="false" ht="41.75" hidden="false" customHeight="false" outlineLevel="0" collapsed="false">
      <c r="A4" s="29" t="s">
        <v>245</v>
      </c>
      <c r="B4" s="25" t="s">
        <v>246</v>
      </c>
      <c r="C4" s="25" t="s">
        <v>247</v>
      </c>
    </row>
    <row r="5" customFormat="false" ht="41.75" hidden="false" customHeight="false" outlineLevel="0" collapsed="false">
      <c r="A5" s="29" t="s">
        <v>248</v>
      </c>
      <c r="B5" s="25" t="s">
        <v>249</v>
      </c>
      <c r="C5" s="25" t="s">
        <v>250</v>
      </c>
    </row>
    <row r="6" customFormat="false" ht="15" hidden="false" customHeight="false" outlineLevel="0" collapsed="false">
      <c r="A6" s="29" t="s">
        <v>251</v>
      </c>
      <c r="B6" s="25" t="s">
        <v>252</v>
      </c>
      <c r="C6" s="25" t="s">
        <v>253</v>
      </c>
    </row>
    <row r="7" customFormat="false" ht="28.35" hidden="false" customHeight="false" outlineLevel="0" collapsed="false">
      <c r="A7" s="29" t="s">
        <v>254</v>
      </c>
      <c r="B7" s="26" t="s">
        <v>255</v>
      </c>
      <c r="C7" s="26" t="s">
        <v>256</v>
      </c>
    </row>
    <row r="8" customFormat="false" ht="15" hidden="false" customHeight="false" outlineLevel="0" collapsed="false">
      <c r="A8" s="29" t="s">
        <v>257</v>
      </c>
      <c r="B8" s="26" t="s">
        <v>258</v>
      </c>
      <c r="C8" s="26" t="s">
        <v>259</v>
      </c>
    </row>
    <row r="9" customFormat="false" ht="28.35" hidden="false" customHeight="false" outlineLevel="0" collapsed="false">
      <c r="A9" s="29" t="s">
        <v>260</v>
      </c>
      <c r="B9" s="26" t="s">
        <v>261</v>
      </c>
      <c r="C9" s="26" t="s">
        <v>262</v>
      </c>
    </row>
    <row r="10" customFormat="false" ht="15" hidden="false" customHeight="false" outlineLevel="0" collapsed="false">
      <c r="A10" s="29" t="s">
        <v>28</v>
      </c>
      <c r="B10" s="26" t="s">
        <v>263</v>
      </c>
      <c r="C10" s="26" t="s">
        <v>264</v>
      </c>
    </row>
    <row r="11" customFormat="false" ht="28.35" hidden="false" customHeight="false" outlineLevel="0" collapsed="false">
      <c r="A11" s="29" t="s">
        <v>265</v>
      </c>
      <c r="B11" s="26" t="s">
        <v>266</v>
      </c>
      <c r="C11" s="26" t="s">
        <v>267</v>
      </c>
    </row>
    <row r="12" customFormat="false" ht="28.35" hidden="false" customHeight="false" outlineLevel="0" collapsed="false">
      <c r="A12" s="29" t="s">
        <v>268</v>
      </c>
      <c r="B12" s="26" t="s">
        <v>269</v>
      </c>
      <c r="C12" s="26" t="s">
        <v>270</v>
      </c>
    </row>
    <row r="13" customFormat="false" ht="28.35" hidden="false" customHeight="false" outlineLevel="0" collapsed="false">
      <c r="A13" s="29" t="s">
        <v>271</v>
      </c>
      <c r="B13" s="26" t="s">
        <v>272</v>
      </c>
      <c r="C13" s="26" t="s">
        <v>273</v>
      </c>
    </row>
    <row r="14" customFormat="false" ht="28.35" hidden="false" customHeight="false" outlineLevel="0" collapsed="false">
      <c r="A14" s="29" t="s">
        <v>194</v>
      </c>
      <c r="B14" s="26" t="s">
        <v>274</v>
      </c>
      <c r="C14" s="26" t="s">
        <v>275</v>
      </c>
    </row>
    <row r="15" customFormat="false" ht="28.35" hidden="false" customHeight="false" outlineLevel="0" collapsed="false">
      <c r="A15" s="63" t="s">
        <v>276</v>
      </c>
      <c r="B15" s="62" t="s">
        <v>277</v>
      </c>
      <c r="C15" s="62" t="s">
        <v>278</v>
      </c>
    </row>
    <row r="16" customFormat="false" ht="55.2" hidden="false" customHeight="false" outlineLevel="0" collapsed="false">
      <c r="A16" s="63" t="s">
        <v>279</v>
      </c>
      <c r="B16" s="62" t="s">
        <v>280</v>
      </c>
      <c r="C16" s="62" t="s">
        <v>281</v>
      </c>
    </row>
    <row r="17" customFormat="false" ht="82.05" hidden="false" customHeight="false" outlineLevel="0" collapsed="false">
      <c r="A17" s="63" t="s">
        <v>282</v>
      </c>
      <c r="B17" s="62" t="s">
        <v>283</v>
      </c>
      <c r="C17" s="62" t="s">
        <v>284</v>
      </c>
    </row>
  </sheetData>
  <autoFilter ref="A1:C17"/>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R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4" min="3" style="0" width="10"/>
    <col collapsed="false" customWidth="true" hidden="false" outlineLevel="0" max="9" min="5" style="0" width="14"/>
    <col collapsed="false" customWidth="true" hidden="false" outlineLevel="0" max="10" min="10" style="0" width="12"/>
    <col collapsed="false" customWidth="true" hidden="false" outlineLevel="0" max="11" min="11" style="0" width="34"/>
    <col collapsed="false" customWidth="true" hidden="false" outlineLevel="0" max="12" min="12" style="0" width="28"/>
    <col collapsed="false" customWidth="true" hidden="false" outlineLevel="0" max="14" min="13" style="0" width="36"/>
    <col collapsed="false" customWidth="true" hidden="false" outlineLevel="0" max="15" min="15" style="0" width="28"/>
    <col collapsed="false" customWidth="true" hidden="false" outlineLevel="0" max="16" min="16" style="0" width="60"/>
    <col collapsed="false" customWidth="true" hidden="false" outlineLevel="0" max="17" min="17" style="0" width="12"/>
    <col collapsed="false" customWidth="true" hidden="false" outlineLevel="0" max="18" min="18" style="0" width="60"/>
  </cols>
  <sheetData>
    <row r="1" customFormat="false" ht="19.7" hidden="false" customHeight="false" outlineLevel="0" collapsed="false">
      <c r="A1" s="1" t="s">
        <v>285</v>
      </c>
    </row>
    <row r="2" customFormat="false" ht="15" hidden="false" customHeight="false" outlineLevel="0" collapsed="false">
      <c r="A2" s="2" t="s">
        <v>286</v>
      </c>
    </row>
    <row r="4" customFormat="false" ht="45" hidden="false" customHeight="true" outlineLevel="0" collapsed="false">
      <c r="A4" s="3" t="s">
        <v>2</v>
      </c>
      <c r="B4" s="4" t="s">
        <v>287</v>
      </c>
      <c r="C4" s="4" t="s">
        <v>115</v>
      </c>
      <c r="D4" s="4" t="s">
        <v>288</v>
      </c>
      <c r="E4" s="4" t="s">
        <v>289</v>
      </c>
      <c r="F4" s="4" t="s">
        <v>290</v>
      </c>
      <c r="G4" s="4" t="s">
        <v>291</v>
      </c>
      <c r="H4" s="4" t="s">
        <v>292</v>
      </c>
      <c r="I4" s="4" t="s">
        <v>293</v>
      </c>
      <c r="J4" s="4" t="s">
        <v>294</v>
      </c>
      <c r="K4" s="4" t="s">
        <v>295</v>
      </c>
      <c r="L4" s="4" t="s">
        <v>296</v>
      </c>
      <c r="M4" s="4" t="s">
        <v>297</v>
      </c>
      <c r="N4" s="4" t="s">
        <v>298</v>
      </c>
      <c r="O4" s="4" t="s">
        <v>299</v>
      </c>
      <c r="P4" s="4" t="s">
        <v>39</v>
      </c>
      <c r="Q4" s="4" t="s">
        <v>300</v>
      </c>
      <c r="R4" s="4" t="s">
        <v>301</v>
      </c>
    </row>
    <row r="5" customFormat="false" ht="28.35" hidden="false" customHeight="false" outlineLevel="0" collapsed="false">
      <c r="A5" s="64" t="s">
        <v>43</v>
      </c>
      <c r="B5" s="64" t="s">
        <v>3</v>
      </c>
      <c r="C5" s="64" t="s">
        <v>37</v>
      </c>
      <c r="D5" s="64" t="s">
        <v>302</v>
      </c>
      <c r="E5" s="65" t="n">
        <v>9.708</v>
      </c>
      <c r="F5" s="66" t="n">
        <f aca="false">7474+2234</f>
        <v>9708</v>
      </c>
      <c r="G5" s="65" t="n">
        <f aca="false">F5/1000</f>
        <v>9.708</v>
      </c>
      <c r="H5" s="67" t="n">
        <f aca="false">Financial_Metrics!G2</f>
        <v>9.708</v>
      </c>
      <c r="I5" s="68" t="n">
        <f aca="false">H5-G5</f>
        <v>0</v>
      </c>
      <c r="J5" s="69" t="str">
        <f aca="false">IF(ABS(I5)&lt;=0.0005,"Match",IF(ABS(I5)&lt;=0.01,"Rounding","Mismatch"))</f>
        <v>Match</v>
      </c>
      <c r="K5" s="64" t="s">
        <v>303</v>
      </c>
      <c r="L5" s="64" t="s">
        <v>304</v>
      </c>
      <c r="M5" s="70" t="s">
        <v>305</v>
      </c>
      <c r="N5" s="70" t="s">
        <v>306</v>
      </c>
      <c r="O5" s="70" t="s">
        <v>307</v>
      </c>
      <c r="P5" s="70" t="s">
        <v>45</v>
      </c>
      <c r="Q5" s="71" t="n">
        <v>46323</v>
      </c>
      <c r="R5" s="70" t="s">
        <v>308</v>
      </c>
    </row>
    <row r="6" customFormat="false" ht="28.35" hidden="false" customHeight="false" outlineLevel="0" collapsed="false">
      <c r="A6" s="64" t="s">
        <v>43</v>
      </c>
      <c r="B6" s="64" t="s">
        <v>3</v>
      </c>
      <c r="C6" s="64" t="s">
        <v>36</v>
      </c>
      <c r="D6" s="64" t="s">
        <v>309</v>
      </c>
      <c r="E6" s="65" t="n">
        <v>9.93</v>
      </c>
      <c r="F6" s="66" t="n">
        <f aca="false">9303+627</f>
        <v>9930</v>
      </c>
      <c r="G6" s="65" t="n">
        <f aca="false">F6/1000</f>
        <v>9.93</v>
      </c>
      <c r="H6" s="67" t="n">
        <f aca="false">Financial_Metrics!F2</f>
        <v>9.93</v>
      </c>
      <c r="I6" s="68" t="n">
        <f aca="false">H6-G6</f>
        <v>0</v>
      </c>
      <c r="J6" s="69" t="str">
        <f aca="false">IF(ABS(I6)&lt;=0.0005,"Match",IF(ABS(I6)&lt;=0.01,"Rounding","Mismatch"))</f>
        <v>Match</v>
      </c>
      <c r="K6" s="64" t="s">
        <v>303</v>
      </c>
      <c r="L6" s="64" t="s">
        <v>304</v>
      </c>
      <c r="M6" s="70" t="s">
        <v>305</v>
      </c>
      <c r="N6" s="70" t="s">
        <v>306</v>
      </c>
      <c r="O6" s="70" t="s">
        <v>307</v>
      </c>
      <c r="P6" s="70" t="s">
        <v>45</v>
      </c>
      <c r="Q6" s="71" t="n">
        <v>46323</v>
      </c>
      <c r="R6" s="70" t="s">
        <v>310</v>
      </c>
    </row>
    <row r="7" customFormat="false" ht="28.35" hidden="false" customHeight="false" outlineLevel="0" collapsed="false">
      <c r="A7" s="64" t="s">
        <v>43</v>
      </c>
      <c r="B7" s="64" t="s">
        <v>3</v>
      </c>
      <c r="C7" s="64" t="s">
        <v>35</v>
      </c>
      <c r="D7" s="64" t="s">
        <v>311</v>
      </c>
      <c r="E7" s="65" t="n">
        <v>9.483</v>
      </c>
      <c r="F7" s="66" t="n">
        <f aca="false">8118+1365</f>
        <v>9483</v>
      </c>
      <c r="G7" s="65" t="n">
        <f aca="false">F7/1000</f>
        <v>9.483</v>
      </c>
      <c r="H7" s="67" t="n">
        <f aca="false">Financial_Metrics!E2</f>
        <v>9.483</v>
      </c>
      <c r="I7" s="68" t="n">
        <f aca="false">H7-G7</f>
        <v>0</v>
      </c>
      <c r="J7" s="69" t="str">
        <f aca="false">IF(ABS(I7)&lt;=0.0005,"Match",IF(ABS(I7)&lt;=0.01,"Rounding","Mismatch"))</f>
        <v>Match</v>
      </c>
      <c r="K7" s="64" t="s">
        <v>303</v>
      </c>
      <c r="L7" s="64" t="s">
        <v>304</v>
      </c>
      <c r="M7" s="70" t="s">
        <v>305</v>
      </c>
      <c r="N7" s="70" t="s">
        <v>306</v>
      </c>
      <c r="O7" s="70" t="s">
        <v>307</v>
      </c>
      <c r="P7" s="70" t="s">
        <v>45</v>
      </c>
      <c r="Q7" s="71" t="n">
        <v>46323</v>
      </c>
      <c r="R7" s="70" t="s">
        <v>312</v>
      </c>
    </row>
    <row r="8" customFormat="false" ht="28.35" hidden="false" customHeight="false" outlineLevel="0" collapsed="false">
      <c r="A8" s="64" t="s">
        <v>43</v>
      </c>
      <c r="B8" s="64" t="s">
        <v>4</v>
      </c>
      <c r="C8" s="64" t="s">
        <v>37</v>
      </c>
      <c r="D8" s="64" t="s">
        <v>313</v>
      </c>
      <c r="E8" s="65" t="n">
        <v>2.234</v>
      </c>
      <c r="F8" s="66" t="n">
        <v>2234</v>
      </c>
      <c r="G8" s="65" t="n">
        <f aca="false">F8/1000</f>
        <v>2.234</v>
      </c>
      <c r="H8" s="67" t="n">
        <f aca="false">Financial_Metrics!G4</f>
        <v>2.234</v>
      </c>
      <c r="I8" s="68" t="n">
        <f aca="false">H8-G8</f>
        <v>0</v>
      </c>
      <c r="J8" s="69" t="str">
        <f aca="false">IF(ABS(I8)&lt;=0.0005,"Match",IF(ABS(I8)&lt;=0.01,"Rounding","Mismatch"))</f>
        <v>Match</v>
      </c>
      <c r="K8" s="64" t="s">
        <v>303</v>
      </c>
      <c r="L8" s="64" t="s">
        <v>304</v>
      </c>
      <c r="M8" s="70" t="s">
        <v>305</v>
      </c>
      <c r="N8" s="70" t="s">
        <v>306</v>
      </c>
      <c r="O8" s="70" t="s">
        <v>307</v>
      </c>
      <c r="P8" s="70" t="s">
        <v>45</v>
      </c>
      <c r="Q8" s="71" t="n">
        <v>46323</v>
      </c>
      <c r="R8" s="70" t="s">
        <v>314</v>
      </c>
    </row>
    <row r="9" customFormat="false" ht="28.35" hidden="false" customHeight="false" outlineLevel="0" collapsed="false">
      <c r="A9" s="64" t="s">
        <v>43</v>
      </c>
      <c r="B9" s="64" t="s">
        <v>4</v>
      </c>
      <c r="C9" s="64" t="s">
        <v>36</v>
      </c>
      <c r="D9" s="64" t="s">
        <v>315</v>
      </c>
      <c r="E9" s="65" t="n">
        <v>0.627</v>
      </c>
      <c r="F9" s="66" t="n">
        <v>627</v>
      </c>
      <c r="G9" s="65" t="n">
        <f aca="false">F9/1000</f>
        <v>0.627</v>
      </c>
      <c r="H9" s="67" t="n">
        <f aca="false">Financial_Metrics!F4</f>
        <v>0.627</v>
      </c>
      <c r="I9" s="68" t="n">
        <f aca="false">H9-G9</f>
        <v>0</v>
      </c>
      <c r="J9" s="69" t="str">
        <f aca="false">IF(ABS(I9)&lt;=0.0005,"Match",IF(ABS(I9)&lt;=0.01,"Rounding","Mismatch"))</f>
        <v>Match</v>
      </c>
      <c r="K9" s="64" t="s">
        <v>303</v>
      </c>
      <c r="L9" s="64" t="s">
        <v>304</v>
      </c>
      <c r="M9" s="70" t="s">
        <v>305</v>
      </c>
      <c r="N9" s="70" t="s">
        <v>306</v>
      </c>
      <c r="O9" s="70" t="s">
        <v>307</v>
      </c>
      <c r="P9" s="70" t="s">
        <v>45</v>
      </c>
      <c r="Q9" s="71" t="n">
        <v>46323</v>
      </c>
      <c r="R9" s="70" t="s">
        <v>314</v>
      </c>
    </row>
    <row r="10" customFormat="false" ht="28.35" hidden="false" customHeight="false" outlineLevel="0" collapsed="false">
      <c r="A10" s="64" t="s">
        <v>43</v>
      </c>
      <c r="B10" s="64" t="s">
        <v>4</v>
      </c>
      <c r="C10" s="64" t="s">
        <v>35</v>
      </c>
      <c r="D10" s="64" t="s">
        <v>316</v>
      </c>
      <c r="E10" s="65" t="n">
        <v>1.365</v>
      </c>
      <c r="F10" s="66" t="n">
        <v>1365</v>
      </c>
      <c r="G10" s="65" t="n">
        <f aca="false">F10/1000</f>
        <v>1.365</v>
      </c>
      <c r="H10" s="67" t="n">
        <f aca="false">Financial_Metrics!E4</f>
        <v>1.365</v>
      </c>
      <c r="I10" s="68" t="n">
        <f aca="false">H10-G10</f>
        <v>0</v>
      </c>
      <c r="J10" s="69" t="str">
        <f aca="false">IF(ABS(I10)&lt;=0.0005,"Match",IF(ABS(I10)&lt;=0.01,"Rounding","Mismatch"))</f>
        <v>Match</v>
      </c>
      <c r="K10" s="64" t="s">
        <v>303</v>
      </c>
      <c r="L10" s="64" t="s">
        <v>304</v>
      </c>
      <c r="M10" s="70" t="s">
        <v>305</v>
      </c>
      <c r="N10" s="70" t="s">
        <v>306</v>
      </c>
      <c r="O10" s="70" t="s">
        <v>307</v>
      </c>
      <c r="P10" s="70" t="s">
        <v>45</v>
      </c>
      <c r="Q10" s="71" t="n">
        <v>46323</v>
      </c>
      <c r="R10" s="70" t="s">
        <v>314</v>
      </c>
    </row>
    <row r="11" customFormat="false" ht="28.35" hidden="false" customHeight="false" outlineLevel="0" collapsed="false">
      <c r="A11" s="64" t="s">
        <v>43</v>
      </c>
      <c r="B11" s="64" t="s">
        <v>317</v>
      </c>
      <c r="C11" s="64" t="s">
        <v>37</v>
      </c>
      <c r="D11" s="64" t="s">
        <v>318</v>
      </c>
      <c r="E11" s="65" t="n">
        <v>1.605</v>
      </c>
      <c r="F11" s="66" t="n">
        <v>1605</v>
      </c>
      <c r="G11" s="65" t="n">
        <f aca="false">F11/1000</f>
        <v>1.605</v>
      </c>
      <c r="H11" s="67" t="n">
        <f aca="false">Financial_Metrics!G5</f>
        <v>1.605</v>
      </c>
      <c r="I11" s="68" t="n">
        <f aca="false">H11-G11</f>
        <v>0</v>
      </c>
      <c r="J11" s="69" t="str">
        <f aca="false">IF(ABS(I11)&lt;=0.0005,"Match",IF(ABS(I11)&lt;=0.01,"Rounding","Mismatch"))</f>
        <v>Match</v>
      </c>
      <c r="K11" s="64" t="s">
        <v>303</v>
      </c>
      <c r="L11" s="64" t="s">
        <v>304</v>
      </c>
      <c r="M11" s="70" t="s">
        <v>305</v>
      </c>
      <c r="N11" s="70" t="s">
        <v>306</v>
      </c>
      <c r="O11" s="70" t="s">
        <v>307</v>
      </c>
      <c r="P11" s="70" t="s">
        <v>45</v>
      </c>
      <c r="Q11" s="71" t="n">
        <v>46323</v>
      </c>
      <c r="R11" s="70" t="s">
        <v>319</v>
      </c>
    </row>
    <row r="12" customFormat="false" ht="28.35" hidden="false" customHeight="false" outlineLevel="0" collapsed="false">
      <c r="A12" s="64" t="s">
        <v>43</v>
      </c>
      <c r="B12" s="64" t="s">
        <v>317</v>
      </c>
      <c r="C12" s="64" t="s">
        <v>36</v>
      </c>
      <c r="D12" s="64" t="s">
        <v>320</v>
      </c>
      <c r="E12" s="65" t="n">
        <v>-0.098</v>
      </c>
      <c r="F12" s="66" t="n">
        <v>-98</v>
      </c>
      <c r="G12" s="65" t="n">
        <f aca="false">F12/1000</f>
        <v>-0.098</v>
      </c>
      <c r="H12" s="67" t="n">
        <f aca="false">Financial_Metrics!F5</f>
        <v>-0.098</v>
      </c>
      <c r="I12" s="68" t="n">
        <f aca="false">H12-G12</f>
        <v>0</v>
      </c>
      <c r="J12" s="69" t="str">
        <f aca="false">IF(ABS(I12)&lt;=0.0005,"Match",IF(ABS(I12)&lt;=0.01,"Rounding","Mismatch"))</f>
        <v>Match</v>
      </c>
      <c r="K12" s="64" t="s">
        <v>303</v>
      </c>
      <c r="L12" s="64" t="s">
        <v>304</v>
      </c>
      <c r="M12" s="70" t="s">
        <v>305</v>
      </c>
      <c r="N12" s="70" t="s">
        <v>306</v>
      </c>
      <c r="O12" s="70" t="s">
        <v>307</v>
      </c>
      <c r="P12" s="70" t="s">
        <v>45</v>
      </c>
      <c r="Q12" s="71" t="n">
        <v>46323</v>
      </c>
      <c r="R12" s="70" t="s">
        <v>321</v>
      </c>
    </row>
    <row r="13" customFormat="false" ht="28.35" hidden="false" customHeight="false" outlineLevel="0" collapsed="false">
      <c r="A13" s="64" t="s">
        <v>43</v>
      </c>
      <c r="B13" s="64" t="s">
        <v>317</v>
      </c>
      <c r="C13" s="64" t="s">
        <v>35</v>
      </c>
      <c r="D13" s="64" t="s">
        <v>322</v>
      </c>
      <c r="E13" s="65" t="n">
        <v>1.064</v>
      </c>
      <c r="F13" s="66" t="n">
        <v>1055</v>
      </c>
      <c r="G13" s="65" t="n">
        <f aca="false">F13/1000</f>
        <v>1.055</v>
      </c>
      <c r="H13" s="67" t="n">
        <f aca="false">Financial_Metrics!E5</f>
        <v>1.055</v>
      </c>
      <c r="I13" s="68" t="n">
        <f aca="false">H13-G13</f>
        <v>0</v>
      </c>
      <c r="J13" s="69" t="str">
        <f aca="false">IF(ABS(I13)&lt;=0.0005,"Match",IF(ABS(I13)&lt;=0.01,"Rounding","Mismatch"))</f>
        <v>Match</v>
      </c>
      <c r="K13" s="64" t="s">
        <v>323</v>
      </c>
      <c r="L13" s="64" t="s">
        <v>304</v>
      </c>
      <c r="M13" s="70" t="s">
        <v>305</v>
      </c>
      <c r="N13" s="70" t="s">
        <v>306</v>
      </c>
      <c r="O13" s="70" t="s">
        <v>307</v>
      </c>
      <c r="P13" s="70" t="s">
        <v>45</v>
      </c>
      <c r="Q13" s="71" t="n">
        <v>46323</v>
      </c>
      <c r="R13" s="70" t="s">
        <v>324</v>
      </c>
    </row>
    <row r="14" customFormat="false" ht="28.35" hidden="false" customHeight="false" outlineLevel="0" collapsed="false">
      <c r="A14" s="64" t="s">
        <v>43</v>
      </c>
      <c r="B14" s="64" t="s">
        <v>325</v>
      </c>
      <c r="C14" s="64" t="s">
        <v>37</v>
      </c>
      <c r="D14" s="64" t="s">
        <v>326</v>
      </c>
      <c r="E14" s="65" t="n">
        <v>0.26</v>
      </c>
      <c r="F14" s="66" t="n">
        <v>260</v>
      </c>
      <c r="G14" s="65" t="n">
        <f aca="false">F14/1000</f>
        <v>0.26</v>
      </c>
      <c r="H14" s="67" t="n">
        <f aca="false">Financial_Metrics!G14</f>
        <v>0.26</v>
      </c>
      <c r="I14" s="68" t="n">
        <f aca="false">H14-G14</f>
        <v>0</v>
      </c>
      <c r="J14" s="69" t="str">
        <f aca="false">IF(ABS(I14)&lt;=0.0005,"Match",IF(ABS(I14)&lt;=0.01,"Rounding","Mismatch"))</f>
        <v>Match</v>
      </c>
      <c r="K14" s="64" t="s">
        <v>303</v>
      </c>
      <c r="L14" s="64" t="s">
        <v>304</v>
      </c>
      <c r="M14" s="70" t="s">
        <v>305</v>
      </c>
      <c r="N14" s="70" t="s">
        <v>306</v>
      </c>
      <c r="O14" s="70" t="s">
        <v>307</v>
      </c>
      <c r="P14" s="70" t="s">
        <v>45</v>
      </c>
      <c r="Q14" s="71" t="n">
        <v>46323</v>
      </c>
      <c r="R14" s="70" t="s">
        <v>327</v>
      </c>
    </row>
    <row r="15" customFormat="false" ht="28.35" hidden="false" customHeight="false" outlineLevel="0" collapsed="false">
      <c r="A15" s="64" t="s">
        <v>43</v>
      </c>
      <c r="B15" s="64" t="s">
        <v>325</v>
      </c>
      <c r="C15" s="64" t="s">
        <v>36</v>
      </c>
      <c r="D15" s="64" t="s">
        <v>328</v>
      </c>
      <c r="E15" s="65" t="n">
        <v>0.263</v>
      </c>
      <c r="F15" s="66" t="n">
        <v>263</v>
      </c>
      <c r="G15" s="65" t="n">
        <f aca="false">F15/1000</f>
        <v>0.263</v>
      </c>
      <c r="H15" s="67" t="n">
        <f aca="false">Financial_Metrics!F14</f>
        <v>0.263</v>
      </c>
      <c r="I15" s="68" t="n">
        <f aca="false">H15-G15</f>
        <v>0</v>
      </c>
      <c r="J15" s="69" t="str">
        <f aca="false">IF(ABS(I15)&lt;=0.0005,"Match",IF(ABS(I15)&lt;=0.01,"Rounding","Mismatch"))</f>
        <v>Match</v>
      </c>
      <c r="K15" s="64" t="s">
        <v>303</v>
      </c>
      <c r="L15" s="64" t="s">
        <v>304</v>
      </c>
      <c r="M15" s="70" t="s">
        <v>305</v>
      </c>
      <c r="N15" s="70" t="s">
        <v>306</v>
      </c>
      <c r="O15" s="70" t="s">
        <v>307</v>
      </c>
      <c r="P15" s="70" t="s">
        <v>45</v>
      </c>
      <c r="Q15" s="71" t="n">
        <v>46323</v>
      </c>
      <c r="R15" s="70" t="s">
        <v>327</v>
      </c>
    </row>
    <row r="16" customFormat="false" ht="28.35" hidden="false" customHeight="false" outlineLevel="0" collapsed="false">
      <c r="A16" s="64" t="s">
        <v>43</v>
      </c>
      <c r="B16" s="64" t="s">
        <v>325</v>
      </c>
      <c r="C16" s="64" t="s">
        <v>35</v>
      </c>
      <c r="D16" s="64" t="s">
        <v>329</v>
      </c>
      <c r="E16" s="65" t="n">
        <v>0.3</v>
      </c>
      <c r="F16" s="66" t="n">
        <v>235</v>
      </c>
      <c r="G16" s="65" t="n">
        <f aca="false">F16/1000</f>
        <v>0.235</v>
      </c>
      <c r="H16" s="67" t="n">
        <f aca="false">Financial_Metrics!E14</f>
        <v>0.235</v>
      </c>
      <c r="I16" s="68" t="n">
        <f aca="false">H16-G16</f>
        <v>0</v>
      </c>
      <c r="J16" s="69" t="str">
        <f aca="false">IF(ABS(I16)&lt;=0.0005,"Match",IF(ABS(I16)&lt;=0.01,"Rounding","Mismatch"))</f>
        <v>Match</v>
      </c>
      <c r="K16" s="64" t="s">
        <v>323</v>
      </c>
      <c r="L16" s="64" t="s">
        <v>304</v>
      </c>
      <c r="M16" s="70" t="s">
        <v>305</v>
      </c>
      <c r="N16" s="70" t="s">
        <v>306</v>
      </c>
      <c r="O16" s="70" t="s">
        <v>307</v>
      </c>
      <c r="P16" s="70" t="s">
        <v>45</v>
      </c>
      <c r="Q16" s="71" t="n">
        <v>46323</v>
      </c>
      <c r="R16" s="70" t="s">
        <v>327</v>
      </c>
    </row>
    <row r="17" customFormat="false" ht="28.35" hidden="false" customHeight="false" outlineLevel="0" collapsed="false">
      <c r="A17" s="64" t="s">
        <v>43</v>
      </c>
      <c r="B17" s="64" t="s">
        <v>330</v>
      </c>
      <c r="C17" s="64" t="s">
        <v>37</v>
      </c>
      <c r="D17" s="64" t="s">
        <v>331</v>
      </c>
      <c r="E17" s="65" t="n">
        <v>1.775</v>
      </c>
      <c r="F17" s="66" t="n">
        <v>1775</v>
      </c>
      <c r="G17" s="65" t="n">
        <f aca="false">F17/1000</f>
        <v>1.775</v>
      </c>
      <c r="H17" s="67" t="n">
        <f aca="false">Financial_Metrics!G7</f>
        <v>1.775</v>
      </c>
      <c r="I17" s="68" t="n">
        <f aca="false">H17-G17</f>
        <v>0</v>
      </c>
      <c r="J17" s="69" t="str">
        <f aca="false">IF(ABS(I17)&lt;=0.0005,"Match",IF(ABS(I17)&lt;=0.01,"Rounding","Mismatch"))</f>
        <v>Match</v>
      </c>
      <c r="K17" s="64" t="s">
        <v>303</v>
      </c>
      <c r="L17" s="64" t="s">
        <v>304</v>
      </c>
      <c r="M17" s="70" t="s">
        <v>305</v>
      </c>
      <c r="N17" s="70" t="s">
        <v>332</v>
      </c>
      <c r="O17" s="70" t="s">
        <v>307</v>
      </c>
      <c r="P17" s="70" t="s">
        <v>45</v>
      </c>
      <c r="Q17" s="71" t="n">
        <v>46323</v>
      </c>
      <c r="R17" s="70" t="s">
        <v>333</v>
      </c>
    </row>
    <row r="18" customFormat="false" ht="28.35" hidden="false" customHeight="false" outlineLevel="0" collapsed="false">
      <c r="A18" s="64" t="s">
        <v>43</v>
      </c>
      <c r="B18" s="64" t="s">
        <v>330</v>
      </c>
      <c r="C18" s="64" t="s">
        <v>36</v>
      </c>
      <c r="D18" s="64" t="s">
        <v>334</v>
      </c>
      <c r="E18" s="65" t="n">
        <v>1.512</v>
      </c>
      <c r="F18" s="66" t="n">
        <v>1512</v>
      </c>
      <c r="G18" s="65" t="n">
        <f aca="false">F18/1000</f>
        <v>1.512</v>
      </c>
      <c r="H18" s="67" t="n">
        <f aca="false">Financial_Metrics!F7</f>
        <v>1.512</v>
      </c>
      <c r="I18" s="68" t="n">
        <f aca="false">H18-G18</f>
        <v>0</v>
      </c>
      <c r="J18" s="69" t="str">
        <f aca="false">IF(ABS(I18)&lt;=0.0005,"Match",IF(ABS(I18)&lt;=0.01,"Rounding","Mismatch"))</f>
        <v>Match</v>
      </c>
      <c r="K18" s="64" t="s">
        <v>303</v>
      </c>
      <c r="L18" s="64" t="s">
        <v>304</v>
      </c>
      <c r="M18" s="70" t="s">
        <v>305</v>
      </c>
      <c r="N18" s="70" t="s">
        <v>332</v>
      </c>
      <c r="O18" s="70" t="s">
        <v>307</v>
      </c>
      <c r="P18" s="70" t="s">
        <v>45</v>
      </c>
      <c r="Q18" s="71" t="n">
        <v>46323</v>
      </c>
      <c r="R18" s="70" t="s">
        <v>333</v>
      </c>
    </row>
    <row r="19" customFormat="false" ht="28.35" hidden="false" customHeight="false" outlineLevel="0" collapsed="false">
      <c r="A19" s="64" t="s">
        <v>43</v>
      </c>
      <c r="B19" s="64" t="s">
        <v>330</v>
      </c>
      <c r="C19" s="64" t="s">
        <v>35</v>
      </c>
      <c r="D19" s="64" t="s">
        <v>335</v>
      </c>
      <c r="E19" s="65" t="n">
        <v>1.49</v>
      </c>
      <c r="F19" s="66" t="n">
        <v>1345</v>
      </c>
      <c r="G19" s="65" t="n">
        <f aca="false">F19/1000</f>
        <v>1.345</v>
      </c>
      <c r="H19" s="67" t="n">
        <f aca="false">Financial_Metrics!E7</f>
        <v>1.345</v>
      </c>
      <c r="I19" s="68" t="n">
        <f aca="false">H19-G19</f>
        <v>0</v>
      </c>
      <c r="J19" s="69" t="str">
        <f aca="false">IF(ABS(I19)&lt;=0.0005,"Match",IF(ABS(I19)&lt;=0.01,"Rounding","Mismatch"))</f>
        <v>Match</v>
      </c>
      <c r="K19" s="64" t="s">
        <v>323</v>
      </c>
      <c r="L19" s="64" t="s">
        <v>304</v>
      </c>
      <c r="M19" s="70" t="s">
        <v>305</v>
      </c>
      <c r="N19" s="70" t="s">
        <v>332</v>
      </c>
      <c r="O19" s="70" t="s">
        <v>307</v>
      </c>
      <c r="P19" s="70" t="s">
        <v>45</v>
      </c>
      <c r="Q19" s="71" t="n">
        <v>46323</v>
      </c>
      <c r="R19" s="70" t="s">
        <v>333</v>
      </c>
    </row>
    <row r="20" customFormat="false" ht="28.35" hidden="false" customHeight="false" outlineLevel="0" collapsed="false">
      <c r="A20" s="64" t="s">
        <v>43</v>
      </c>
      <c r="B20" s="64" t="s">
        <v>336</v>
      </c>
      <c r="C20" s="64" t="s">
        <v>37</v>
      </c>
      <c r="D20" s="64" t="s">
        <v>337</v>
      </c>
      <c r="E20" s="65" t="n">
        <v>0.229</v>
      </c>
      <c r="F20" s="66" t="n">
        <v>229</v>
      </c>
      <c r="G20" s="65" t="n">
        <f aca="false">F20/1000</f>
        <v>0.229</v>
      </c>
      <c r="H20" s="67" t="n">
        <f aca="false">Financial_Metrics!G8</f>
        <v>0.229</v>
      </c>
      <c r="I20" s="68" t="n">
        <f aca="false">H20-G20</f>
        <v>0</v>
      </c>
      <c r="J20" s="69" t="str">
        <f aca="false">IF(ABS(I20)&lt;=0.0005,"Match",IF(ABS(I20)&lt;=0.01,"Rounding","Mismatch"))</f>
        <v>Match</v>
      </c>
      <c r="K20" s="64" t="s">
        <v>303</v>
      </c>
      <c r="L20" s="64" t="s">
        <v>304</v>
      </c>
      <c r="M20" s="70" t="s">
        <v>305</v>
      </c>
      <c r="N20" s="70" t="s">
        <v>332</v>
      </c>
      <c r="O20" s="70" t="s">
        <v>307</v>
      </c>
      <c r="P20" s="70" t="s">
        <v>45</v>
      </c>
      <c r="Q20" s="71" t="n">
        <v>46323</v>
      </c>
      <c r="R20" s="70" t="s">
        <v>338</v>
      </c>
    </row>
    <row r="21" customFormat="false" ht="28.35" hidden="false" customHeight="false" outlineLevel="0" collapsed="false">
      <c r="A21" s="64" t="s">
        <v>43</v>
      </c>
      <c r="B21" s="64" t="s">
        <v>336</v>
      </c>
      <c r="C21" s="64" t="s">
        <v>36</v>
      </c>
      <c r="D21" s="64" t="s">
        <v>339</v>
      </c>
      <c r="E21" s="65" t="n">
        <v>0.245</v>
      </c>
      <c r="F21" s="66" t="n">
        <v>245</v>
      </c>
      <c r="G21" s="65" t="n">
        <f aca="false">F21/1000</f>
        <v>0.245</v>
      </c>
      <c r="H21" s="67" t="n">
        <f aca="false">Financial_Metrics!F8</f>
        <v>0.245</v>
      </c>
      <c r="I21" s="68" t="n">
        <f aca="false">H21-G21</f>
        <v>0</v>
      </c>
      <c r="J21" s="69" t="str">
        <f aca="false">IF(ABS(I21)&lt;=0.0005,"Match",IF(ABS(I21)&lt;=0.01,"Rounding","Mismatch"))</f>
        <v>Match</v>
      </c>
      <c r="K21" s="64" t="s">
        <v>303</v>
      </c>
      <c r="L21" s="64" t="s">
        <v>304</v>
      </c>
      <c r="M21" s="70" t="s">
        <v>305</v>
      </c>
      <c r="N21" s="70" t="s">
        <v>332</v>
      </c>
      <c r="O21" s="70" t="s">
        <v>307</v>
      </c>
      <c r="P21" s="70" t="s">
        <v>45</v>
      </c>
      <c r="Q21" s="71" t="n">
        <v>46323</v>
      </c>
      <c r="R21" s="70" t="s">
        <v>340</v>
      </c>
    </row>
    <row r="22" customFormat="false" ht="28.35" hidden="false" customHeight="false" outlineLevel="0" collapsed="false">
      <c r="A22" s="64" t="s">
        <v>43</v>
      </c>
      <c r="B22" s="64" t="s">
        <v>336</v>
      </c>
      <c r="C22" s="64" t="s">
        <v>35</v>
      </c>
      <c r="D22" s="64" t="s">
        <v>341</v>
      </c>
      <c r="E22" s="65" t="n">
        <v>0.3</v>
      </c>
      <c r="F22" s="66" t="n">
        <v>242</v>
      </c>
      <c r="G22" s="65" t="n">
        <f aca="false">F22/1000</f>
        <v>0.242</v>
      </c>
      <c r="H22" s="67" t="n">
        <f aca="false">Financial_Metrics!E8</f>
        <v>0.242</v>
      </c>
      <c r="I22" s="68" t="n">
        <f aca="false">H22-G22</f>
        <v>0</v>
      </c>
      <c r="J22" s="69" t="str">
        <f aca="false">IF(ABS(I22)&lt;=0.0005,"Match",IF(ABS(I22)&lt;=0.01,"Rounding","Mismatch"))</f>
        <v>Match</v>
      </c>
      <c r="K22" s="64" t="s">
        <v>323</v>
      </c>
      <c r="L22" s="64" t="s">
        <v>304</v>
      </c>
      <c r="M22" s="70" t="s">
        <v>305</v>
      </c>
      <c r="N22" s="70" t="s">
        <v>332</v>
      </c>
      <c r="O22" s="70" t="s">
        <v>307</v>
      </c>
      <c r="P22" s="70" t="s">
        <v>45</v>
      </c>
      <c r="Q22" s="71" t="n">
        <v>46323</v>
      </c>
      <c r="R22" s="70" t="s">
        <v>340</v>
      </c>
    </row>
    <row r="23" customFormat="false" ht="28.35" hidden="false" customHeight="false" outlineLevel="0" collapsed="false">
      <c r="A23" s="64" t="s">
        <v>43</v>
      </c>
      <c r="B23" s="64" t="s">
        <v>342</v>
      </c>
      <c r="C23" s="64" t="s">
        <v>37</v>
      </c>
      <c r="D23" s="64" t="s">
        <v>343</v>
      </c>
      <c r="E23" s="65" t="n">
        <v>16.87</v>
      </c>
      <c r="F23" s="66" t="n">
        <v>16874</v>
      </c>
      <c r="G23" s="65" t="n">
        <f aca="false">F23/1000</f>
        <v>16.874</v>
      </c>
      <c r="H23" s="67" t="n">
        <f aca="false">Financial_Metrics!G10</f>
        <v>16.874</v>
      </c>
      <c r="I23" s="68" t="n">
        <f aca="false">H23-G23</f>
        <v>0</v>
      </c>
      <c r="J23" s="69" t="str">
        <f aca="false">IF(ABS(I23)&lt;=0.0005,"Match",IF(ABS(I23)&lt;=0.01,"Rounding","Mismatch"))</f>
        <v>Match</v>
      </c>
      <c r="K23" s="64" t="s">
        <v>323</v>
      </c>
      <c r="L23" s="64" t="s">
        <v>304</v>
      </c>
      <c r="M23" s="70" t="s">
        <v>305</v>
      </c>
      <c r="N23" s="70" t="s">
        <v>344</v>
      </c>
      <c r="O23" s="70" t="s">
        <v>307</v>
      </c>
      <c r="P23" s="70" t="s">
        <v>45</v>
      </c>
      <c r="Q23" s="71" t="n">
        <v>46323</v>
      </c>
      <c r="R23" s="70" t="s">
        <v>345</v>
      </c>
    </row>
    <row r="24" customFormat="false" ht="28.35" hidden="false" customHeight="false" outlineLevel="0" collapsed="false">
      <c r="A24" s="64" t="s">
        <v>43</v>
      </c>
      <c r="B24" s="64" t="s">
        <v>342</v>
      </c>
      <c r="C24" s="64" t="s">
        <v>36</v>
      </c>
      <c r="D24" s="64" t="s">
        <v>346</v>
      </c>
      <c r="E24" s="65" t="n">
        <v>16.01</v>
      </c>
      <c r="F24" s="66" t="n">
        <v>15105</v>
      </c>
      <c r="G24" s="65" t="n">
        <f aca="false">F24/1000</f>
        <v>15.105</v>
      </c>
      <c r="H24" s="67" t="n">
        <f aca="false">Financial_Metrics!F10</f>
        <v>15.105</v>
      </c>
      <c r="I24" s="68" t="n">
        <f aca="false">H24-G24</f>
        <v>0</v>
      </c>
      <c r="J24" s="69" t="str">
        <f aca="false">IF(ABS(I24)&lt;=0.0005,"Match",IF(ABS(I24)&lt;=0.01,"Rounding","Mismatch"))</f>
        <v>Match</v>
      </c>
      <c r="K24" s="64" t="s">
        <v>323</v>
      </c>
      <c r="L24" s="64" t="s">
        <v>304</v>
      </c>
      <c r="M24" s="70" t="s">
        <v>305</v>
      </c>
      <c r="N24" s="70" t="s">
        <v>344</v>
      </c>
      <c r="O24" s="70" t="s">
        <v>307</v>
      </c>
      <c r="P24" s="70" t="s">
        <v>45</v>
      </c>
      <c r="Q24" s="71" t="n">
        <v>46323</v>
      </c>
      <c r="R24" s="70" t="s">
        <v>347</v>
      </c>
    </row>
    <row r="25" customFormat="false" ht="28.35" hidden="false" customHeight="false" outlineLevel="0" collapsed="false">
      <c r="A25" s="64" t="s">
        <v>43</v>
      </c>
      <c r="B25" s="64" t="s">
        <v>348</v>
      </c>
      <c r="C25" s="64" t="s">
        <v>37</v>
      </c>
      <c r="D25" s="64" t="s">
        <v>349</v>
      </c>
      <c r="E25" s="65" t="n">
        <v>14</v>
      </c>
      <c r="F25" s="66" t="n">
        <v>14004</v>
      </c>
      <c r="G25" s="65" t="n">
        <f aca="false">F25/1000</f>
        <v>14.004</v>
      </c>
      <c r="H25" s="67" t="n">
        <f aca="false">Financial_Metrics!G11</f>
        <v>14.004</v>
      </c>
      <c r="I25" s="68" t="n">
        <f aca="false">H25-G25</f>
        <v>0</v>
      </c>
      <c r="J25" s="69" t="str">
        <f aca="false">IF(ABS(I25)&lt;=0.0005,"Match",IF(ABS(I25)&lt;=0.01,"Rounding","Mismatch"))</f>
        <v>Match</v>
      </c>
      <c r="K25" s="64" t="s">
        <v>323</v>
      </c>
      <c r="L25" s="64" t="s">
        <v>304</v>
      </c>
      <c r="M25" s="70" t="s">
        <v>305</v>
      </c>
      <c r="N25" s="70" t="s">
        <v>344</v>
      </c>
      <c r="O25" s="70" t="s">
        <v>307</v>
      </c>
      <c r="P25" s="70" t="s">
        <v>45</v>
      </c>
      <c r="Q25" s="71" t="n">
        <v>46323</v>
      </c>
      <c r="R25" s="70" t="s">
        <v>350</v>
      </c>
    </row>
    <row r="26" customFormat="false" ht="28.35" hidden="false" customHeight="false" outlineLevel="0" collapsed="false">
      <c r="A26" s="64" t="s">
        <v>43</v>
      </c>
      <c r="B26" s="64" t="s">
        <v>348</v>
      </c>
      <c r="C26" s="64" t="s">
        <v>36</v>
      </c>
      <c r="D26" s="64" t="s">
        <v>351</v>
      </c>
      <c r="E26" s="65" t="n">
        <v>13.35</v>
      </c>
      <c r="F26" s="66" t="n">
        <v>12598</v>
      </c>
      <c r="G26" s="65" t="n">
        <f aca="false">F26/1000</f>
        <v>12.598</v>
      </c>
      <c r="H26" s="67" t="n">
        <f aca="false">Financial_Metrics!F11</f>
        <v>12.598</v>
      </c>
      <c r="I26" s="68" t="n">
        <f aca="false">H26-G26</f>
        <v>0</v>
      </c>
      <c r="J26" s="69" t="str">
        <f aca="false">IF(ABS(I26)&lt;=0.0005,"Match",IF(ABS(I26)&lt;=0.01,"Rounding","Mismatch"))</f>
        <v>Match</v>
      </c>
      <c r="K26" s="64" t="s">
        <v>323</v>
      </c>
      <c r="L26" s="64" t="s">
        <v>304</v>
      </c>
      <c r="M26" s="70" t="s">
        <v>305</v>
      </c>
      <c r="N26" s="70" t="s">
        <v>344</v>
      </c>
      <c r="O26" s="70" t="s">
        <v>307</v>
      </c>
      <c r="P26" s="70" t="s">
        <v>45</v>
      </c>
      <c r="Q26" s="71" t="n">
        <v>46323</v>
      </c>
      <c r="R26" s="70" t="s">
        <v>352</v>
      </c>
    </row>
    <row r="27" customFormat="false" ht="28.35" hidden="false" customHeight="false" outlineLevel="0" collapsed="false">
      <c r="A27" s="64" t="s">
        <v>43</v>
      </c>
      <c r="B27" s="64" t="s">
        <v>353</v>
      </c>
      <c r="C27" s="64" t="s">
        <v>37</v>
      </c>
      <c r="D27" s="64" t="s">
        <v>354</v>
      </c>
      <c r="E27" s="65" t="n">
        <v>6.9</v>
      </c>
      <c r="F27" s="66" t="n">
        <f aca="false">550+5756+125+472</f>
        <v>6903</v>
      </c>
      <c r="G27" s="65" t="n">
        <f aca="false">F27/1000</f>
        <v>6.903</v>
      </c>
      <c r="H27" s="67" t="n">
        <f aca="false">Financial_Metrics!G13</f>
        <v>6.903</v>
      </c>
      <c r="I27" s="68" t="n">
        <f aca="false">H27-G27</f>
        <v>0</v>
      </c>
      <c r="J27" s="69" t="str">
        <f aca="false">IF(ABS(I27)&lt;=0.0005,"Match",IF(ABS(I27)&lt;=0.01,"Rounding","Mismatch"))</f>
        <v>Match</v>
      </c>
      <c r="K27" s="64" t="s">
        <v>323</v>
      </c>
      <c r="L27" s="64" t="s">
        <v>304</v>
      </c>
      <c r="M27" s="70" t="s">
        <v>305</v>
      </c>
      <c r="N27" s="70" t="s">
        <v>344</v>
      </c>
      <c r="O27" s="70" t="s">
        <v>307</v>
      </c>
      <c r="P27" s="70" t="s">
        <v>45</v>
      </c>
      <c r="Q27" s="71" t="n">
        <v>46323</v>
      </c>
      <c r="R27" s="70" t="s">
        <v>355</v>
      </c>
    </row>
    <row r="28" customFormat="false" ht="28.35" hidden="false" customHeight="false" outlineLevel="0" collapsed="false">
      <c r="A28" s="64" t="s">
        <v>43</v>
      </c>
      <c r="B28" s="64" t="s">
        <v>353</v>
      </c>
      <c r="C28" s="64" t="s">
        <v>36</v>
      </c>
      <c r="D28" s="64" t="s">
        <v>356</v>
      </c>
      <c r="E28" s="65" t="n">
        <v>5.94</v>
      </c>
      <c r="F28" s="66" t="n">
        <f aca="false">0+5309+118+502</f>
        <v>5929</v>
      </c>
      <c r="G28" s="65" t="n">
        <f aca="false">F28/1000</f>
        <v>5.929</v>
      </c>
      <c r="H28" s="67" t="n">
        <f aca="false">Financial_Metrics!F13</f>
        <v>5.929</v>
      </c>
      <c r="I28" s="68" t="n">
        <f aca="false">H28-G28</f>
        <v>0</v>
      </c>
      <c r="J28" s="69" t="str">
        <f aca="false">IF(ABS(I28)&lt;=0.0005,"Match",IF(ABS(I28)&lt;=0.01,"Rounding","Mismatch"))</f>
        <v>Match</v>
      </c>
      <c r="K28" s="64" t="s">
        <v>323</v>
      </c>
      <c r="L28" s="64" t="s">
        <v>304</v>
      </c>
      <c r="M28" s="70" t="s">
        <v>305</v>
      </c>
      <c r="N28" s="70" t="s">
        <v>344</v>
      </c>
      <c r="O28" s="70" t="s">
        <v>307</v>
      </c>
      <c r="P28" s="70" t="s">
        <v>45</v>
      </c>
      <c r="Q28" s="71" t="n">
        <v>46323</v>
      </c>
      <c r="R28" s="70" t="s">
        <v>357</v>
      </c>
    </row>
    <row r="29" customFormat="false" ht="28.35" hidden="false" customHeight="false" outlineLevel="0" collapsed="false">
      <c r="A29" s="64" t="s">
        <v>43</v>
      </c>
      <c r="B29" s="64" t="s">
        <v>3</v>
      </c>
      <c r="C29" s="64" t="s">
        <v>34</v>
      </c>
      <c r="D29" s="64" t="s">
        <v>358</v>
      </c>
      <c r="E29" s="65" t="n">
        <v>8.87</v>
      </c>
      <c r="F29" s="66" t="n">
        <v>8866</v>
      </c>
      <c r="G29" s="65" t="n">
        <f aca="false">F29/1000</f>
        <v>8.866</v>
      </c>
      <c r="H29" s="67" t="n">
        <f aca="false">Financial_Metrics!D2</f>
        <v>8.87</v>
      </c>
      <c r="I29" s="68" t="n">
        <f aca="false">H29-G29</f>
        <v>0.00399999999999956</v>
      </c>
      <c r="J29" s="69" t="str">
        <f aca="false">IF(ABS(I29)&lt;=0.0005,"Match",IF(ABS(I29)&lt;=0.01,"Rounding","Mismatch"))</f>
        <v>Rounding</v>
      </c>
      <c r="K29" s="64" t="s">
        <v>359</v>
      </c>
      <c r="L29" s="64" t="s">
        <v>360</v>
      </c>
      <c r="M29" s="70" t="s">
        <v>361</v>
      </c>
      <c r="N29" s="70" t="s">
        <v>362</v>
      </c>
      <c r="O29" s="70" t="s">
        <v>50</v>
      </c>
      <c r="P29" s="70" t="s">
        <v>363</v>
      </c>
      <c r="Q29" s="71" t="n">
        <v>46323</v>
      </c>
      <c r="R29" s="70" t="s">
        <v>364</v>
      </c>
    </row>
    <row r="30" customFormat="false" ht="28.35" hidden="false" customHeight="false" outlineLevel="0" collapsed="false">
      <c r="A30" s="64" t="s">
        <v>43</v>
      </c>
      <c r="B30" s="64" t="s">
        <v>3</v>
      </c>
      <c r="C30" s="64" t="s">
        <v>33</v>
      </c>
      <c r="D30" s="64" t="s">
        <v>365</v>
      </c>
      <c r="E30" s="65" t="n">
        <v>9</v>
      </c>
      <c r="F30" s="66" t="n">
        <v>8998</v>
      </c>
      <c r="G30" s="65" t="n">
        <f aca="false">F30/1000</f>
        <v>8.998</v>
      </c>
      <c r="H30" s="67" t="n">
        <f aca="false">Financial_Metrics!C2</f>
        <v>9</v>
      </c>
      <c r="I30" s="68" t="n">
        <f aca="false">H30-G30</f>
        <v>0.00200000000000067</v>
      </c>
      <c r="J30" s="69" t="str">
        <f aca="false">IF(ABS(I30)&lt;=0.0005,"Match",IF(ABS(I30)&lt;=0.01,"Rounding","Mismatch"))</f>
        <v>Rounding</v>
      </c>
      <c r="K30" s="64" t="s">
        <v>359</v>
      </c>
      <c r="L30" s="64" t="s">
        <v>360</v>
      </c>
      <c r="M30" s="70" t="s">
        <v>361</v>
      </c>
      <c r="N30" s="70" t="s">
        <v>362</v>
      </c>
      <c r="O30" s="70" t="s">
        <v>50</v>
      </c>
      <c r="P30" s="70" t="s">
        <v>363</v>
      </c>
      <c r="Q30" s="71" t="n">
        <v>46323</v>
      </c>
      <c r="R30" s="70" t="s">
        <v>364</v>
      </c>
    </row>
    <row r="31" customFormat="false" ht="28.35" hidden="false" customHeight="false" outlineLevel="0" collapsed="false">
      <c r="A31" s="64" t="s">
        <v>43</v>
      </c>
      <c r="B31" s="64" t="s">
        <v>4</v>
      </c>
      <c r="C31" s="64" t="s">
        <v>34</v>
      </c>
      <c r="D31" s="64" t="s">
        <v>366</v>
      </c>
      <c r="E31" s="65" t="n">
        <v>1.81</v>
      </c>
      <c r="F31" s="66" t="n">
        <v>1178</v>
      </c>
      <c r="G31" s="65" t="n">
        <f aca="false">F31/1000</f>
        <v>1.178</v>
      </c>
      <c r="H31" s="67" t="n">
        <f aca="false">Financial_Metrics!D4</f>
        <v>1.81</v>
      </c>
      <c r="I31" s="68" t="n">
        <f aca="false">H31-G31</f>
        <v>0.632</v>
      </c>
      <c r="J31" s="69" t="str">
        <f aca="false">IF(ABS(I31)&lt;=0.0005,"Match",IF(ABS(I31)&lt;=0.01,"Rounding","Mismatch"))</f>
        <v>Mismatch</v>
      </c>
      <c r="K31" s="64" t="s">
        <v>367</v>
      </c>
      <c r="L31" s="64" t="s">
        <v>360</v>
      </c>
      <c r="M31" s="70" t="s">
        <v>368</v>
      </c>
      <c r="N31" s="70" t="s">
        <v>362</v>
      </c>
      <c r="O31" s="70" t="s">
        <v>50</v>
      </c>
      <c r="P31" s="70" t="s">
        <v>363</v>
      </c>
      <c r="Q31" s="71" t="n">
        <v>46323</v>
      </c>
      <c r="R31" s="70"/>
    </row>
    <row r="32" customFormat="false" ht="28.35" hidden="false" customHeight="false" outlineLevel="0" collapsed="false">
      <c r="A32" s="64" t="s">
        <v>43</v>
      </c>
      <c r="B32" s="64" t="s">
        <v>4</v>
      </c>
      <c r="C32" s="64" t="s">
        <v>33</v>
      </c>
      <c r="D32" s="64" t="s">
        <v>369</v>
      </c>
      <c r="E32" s="65" t="n">
        <v>1.75</v>
      </c>
      <c r="F32" s="66" t="n">
        <v>2202</v>
      </c>
      <c r="G32" s="65" t="n">
        <f aca="false">F32/1000</f>
        <v>2.202</v>
      </c>
      <c r="H32" s="67" t="n">
        <f aca="false">Financial_Metrics!C4</f>
        <v>1.75</v>
      </c>
      <c r="I32" s="68" t="n">
        <f aca="false">H32-G32</f>
        <v>-0.452</v>
      </c>
      <c r="J32" s="69" t="str">
        <f aca="false">IF(ABS(I32)&lt;=0.0005,"Match",IF(ABS(I32)&lt;=0.01,"Rounding","Mismatch"))</f>
        <v>Mismatch</v>
      </c>
      <c r="K32" s="64" t="s">
        <v>367</v>
      </c>
      <c r="L32" s="64" t="s">
        <v>360</v>
      </c>
      <c r="M32" s="70" t="s">
        <v>368</v>
      </c>
      <c r="N32" s="70" t="s">
        <v>362</v>
      </c>
      <c r="O32" s="70" t="s">
        <v>50</v>
      </c>
      <c r="P32" s="70" t="s">
        <v>363</v>
      </c>
      <c r="Q32" s="71" t="n">
        <v>46323</v>
      </c>
      <c r="R32" s="70"/>
    </row>
    <row r="33" customFormat="false" ht="28.35" hidden="false" customHeight="false" outlineLevel="0" collapsed="false">
      <c r="A33" s="64" t="s">
        <v>43</v>
      </c>
      <c r="B33" s="64" t="s">
        <v>317</v>
      </c>
      <c r="C33" s="64" t="s">
        <v>34</v>
      </c>
      <c r="D33" s="64" t="s">
        <v>370</v>
      </c>
      <c r="E33" s="65" t="n">
        <v>1.01</v>
      </c>
      <c r="F33" s="66" t="n">
        <v>1009</v>
      </c>
      <c r="G33" s="65" t="n">
        <f aca="false">F33/1000</f>
        <v>1.009</v>
      </c>
      <c r="H33" s="67" t="n">
        <f aca="false">Financial_Metrics!D5</f>
        <v>1.01</v>
      </c>
      <c r="I33" s="68" t="n">
        <f aca="false">H33-G33</f>
        <v>0.00100000000000011</v>
      </c>
      <c r="J33" s="69" t="str">
        <f aca="false">IF(ABS(I33)&lt;=0.0005,"Match",IF(ABS(I33)&lt;=0.01,"Rounding","Mismatch"))</f>
        <v>Rounding</v>
      </c>
      <c r="K33" s="64" t="s">
        <v>359</v>
      </c>
      <c r="L33" s="64" t="s">
        <v>360</v>
      </c>
      <c r="M33" s="70" t="s">
        <v>371</v>
      </c>
      <c r="N33" s="70" t="s">
        <v>362</v>
      </c>
      <c r="O33" s="70" t="s">
        <v>50</v>
      </c>
      <c r="P33" s="70" t="s">
        <v>372</v>
      </c>
      <c r="Q33" s="71" t="n">
        <v>46323</v>
      </c>
      <c r="R33" s="70"/>
    </row>
    <row r="34" customFormat="false" ht="28.35" hidden="false" customHeight="false" outlineLevel="0" collapsed="false">
      <c r="A34" s="64" t="s">
        <v>43</v>
      </c>
      <c r="B34" s="64" t="s">
        <v>317</v>
      </c>
      <c r="C34" s="64" t="s">
        <v>33</v>
      </c>
      <c r="D34" s="64" t="s">
        <v>373</v>
      </c>
      <c r="E34" s="65" t="n">
        <v>4.22</v>
      </c>
      <c r="F34" s="66" t="n">
        <v>4222</v>
      </c>
      <c r="G34" s="65" t="n">
        <f aca="false">F34/1000</f>
        <v>4.222</v>
      </c>
      <c r="H34" s="67" t="n">
        <f aca="false">Financial_Metrics!C5</f>
        <v>4.22</v>
      </c>
      <c r="I34" s="68" t="n">
        <f aca="false">H34-G34</f>
        <v>-0.00200000000000067</v>
      </c>
      <c r="J34" s="69" t="str">
        <f aca="false">IF(ABS(I34)&lt;=0.0005,"Match",IF(ABS(I34)&lt;=0.01,"Rounding","Mismatch"))</f>
        <v>Rounding</v>
      </c>
      <c r="K34" s="64" t="s">
        <v>359</v>
      </c>
      <c r="L34" s="64" t="s">
        <v>360</v>
      </c>
      <c r="M34" s="70" t="s">
        <v>371</v>
      </c>
      <c r="N34" s="70" t="s">
        <v>362</v>
      </c>
      <c r="O34" s="70" t="s">
        <v>50</v>
      </c>
      <c r="P34" s="70" t="s">
        <v>372</v>
      </c>
      <c r="Q34" s="71" t="n">
        <v>46323</v>
      </c>
      <c r="R34" s="70" t="s">
        <v>374</v>
      </c>
    </row>
    <row r="35" customFormat="false" ht="28.35" hidden="false" customHeight="false" outlineLevel="0" collapsed="false">
      <c r="A35" s="64" t="s">
        <v>43</v>
      </c>
      <c r="B35" s="64" t="s">
        <v>325</v>
      </c>
      <c r="C35" s="64" t="s">
        <v>34</v>
      </c>
      <c r="D35" s="64" t="s">
        <v>375</v>
      </c>
      <c r="E35" s="65" t="n">
        <v>0.3</v>
      </c>
      <c r="F35" s="66" t="n">
        <v>208</v>
      </c>
      <c r="G35" s="65" t="n">
        <f aca="false">F35/1000</f>
        <v>0.208</v>
      </c>
      <c r="H35" s="67" t="n">
        <f aca="false">Financial_Metrics!D14</f>
        <v>0.3</v>
      </c>
      <c r="I35" s="68" t="n">
        <f aca="false">H35-G35</f>
        <v>0.092</v>
      </c>
      <c r="J35" s="69" t="str">
        <f aca="false">IF(ABS(I35)&lt;=0.0005,"Match",IF(ABS(I35)&lt;=0.01,"Rounding","Mismatch"))</f>
        <v>Mismatch</v>
      </c>
      <c r="K35" s="64" t="s">
        <v>367</v>
      </c>
      <c r="L35" s="64" t="s">
        <v>360</v>
      </c>
      <c r="M35" s="70" t="s">
        <v>376</v>
      </c>
      <c r="N35" s="70" t="s">
        <v>362</v>
      </c>
      <c r="O35" s="70" t="s">
        <v>50</v>
      </c>
      <c r="P35" s="70" t="s">
        <v>377</v>
      </c>
      <c r="Q35" s="71" t="n">
        <v>46323</v>
      </c>
      <c r="R35" s="70"/>
    </row>
    <row r="36" customFormat="false" ht="28.35" hidden="false" customHeight="false" outlineLevel="0" collapsed="false">
      <c r="A36" s="64" t="s">
        <v>43</v>
      </c>
      <c r="B36" s="64" t="s">
        <v>325</v>
      </c>
      <c r="C36" s="64" t="s">
        <v>33</v>
      </c>
      <c r="D36" s="64" t="s">
        <v>378</v>
      </c>
      <c r="E36" s="65" t="n">
        <v>0.28</v>
      </c>
      <c r="F36" s="66" t="n">
        <v>211</v>
      </c>
      <c r="G36" s="65" t="n">
        <f aca="false">F36/1000</f>
        <v>0.211</v>
      </c>
      <c r="H36" s="67" t="n">
        <f aca="false">Financial_Metrics!C14</f>
        <v>0.28</v>
      </c>
      <c r="I36" s="68" t="n">
        <f aca="false">H36-G36</f>
        <v>0.069</v>
      </c>
      <c r="J36" s="69" t="str">
        <f aca="false">IF(ABS(I36)&lt;=0.0005,"Match",IF(ABS(I36)&lt;=0.01,"Rounding","Mismatch"))</f>
        <v>Mismatch</v>
      </c>
      <c r="K36" s="64" t="s">
        <v>367</v>
      </c>
      <c r="L36" s="64" t="s">
        <v>360</v>
      </c>
      <c r="M36" s="70" t="s">
        <v>376</v>
      </c>
      <c r="N36" s="70" t="s">
        <v>362</v>
      </c>
      <c r="O36" s="70" t="s">
        <v>50</v>
      </c>
      <c r="P36" s="70" t="s">
        <v>377</v>
      </c>
      <c r="Q36" s="71" t="n">
        <v>46323</v>
      </c>
      <c r="R36" s="70"/>
    </row>
    <row r="37" customFormat="false" ht="28.35" hidden="false" customHeight="false" outlineLevel="0" collapsed="false">
      <c r="A37" s="64" t="s">
        <v>43</v>
      </c>
      <c r="B37" s="64" t="s">
        <v>330</v>
      </c>
      <c r="C37" s="64" t="s">
        <v>34</v>
      </c>
      <c r="D37" s="64" t="s">
        <v>379</v>
      </c>
      <c r="E37" s="65" t="n">
        <v>0.97</v>
      </c>
      <c r="F37" s="66" t="n">
        <v>812</v>
      </c>
      <c r="G37" s="65" t="n">
        <f aca="false">F37/1000</f>
        <v>0.812</v>
      </c>
      <c r="H37" s="67" t="n">
        <f aca="false">Financial_Metrics!D7</f>
        <v>0.97</v>
      </c>
      <c r="I37" s="68" t="n">
        <f aca="false">H37-G37</f>
        <v>0.158</v>
      </c>
      <c r="J37" s="69" t="str">
        <f aca="false">IF(ABS(I37)&lt;=0.0005,"Match",IF(ABS(I37)&lt;=0.01,"Rounding","Mismatch"))</f>
        <v>Mismatch</v>
      </c>
      <c r="K37" s="64" t="s">
        <v>367</v>
      </c>
      <c r="L37" s="64" t="s">
        <v>360</v>
      </c>
      <c r="M37" s="70" t="s">
        <v>380</v>
      </c>
      <c r="N37" s="70" t="s">
        <v>362</v>
      </c>
      <c r="O37" s="70" t="s">
        <v>50</v>
      </c>
      <c r="P37" s="70" t="s">
        <v>381</v>
      </c>
      <c r="Q37" s="71" t="n">
        <v>46323</v>
      </c>
      <c r="R37" s="70"/>
    </row>
    <row r="38" customFormat="false" ht="28.35" hidden="false" customHeight="false" outlineLevel="0" collapsed="false">
      <c r="A38" s="64" t="s">
        <v>43</v>
      </c>
      <c r="B38" s="64" t="s">
        <v>330</v>
      </c>
      <c r="C38" s="64" t="s">
        <v>33</v>
      </c>
      <c r="D38" s="64" t="s">
        <v>382</v>
      </c>
      <c r="E38" s="65" t="n">
        <v>2.11</v>
      </c>
      <c r="F38" s="66" t="n">
        <v>2061</v>
      </c>
      <c r="G38" s="65" t="n">
        <f aca="false">F38/1000</f>
        <v>2.061</v>
      </c>
      <c r="H38" s="67" t="n">
        <f aca="false">Financial_Metrics!C7</f>
        <v>2.11</v>
      </c>
      <c r="I38" s="68" t="n">
        <f aca="false">H38-G38</f>
        <v>0.0489999999999999</v>
      </c>
      <c r="J38" s="69" t="str">
        <f aca="false">IF(ABS(I38)&lt;=0.0005,"Match",IF(ABS(I38)&lt;=0.01,"Rounding","Mismatch"))</f>
        <v>Mismatch</v>
      </c>
      <c r="K38" s="64" t="s">
        <v>367</v>
      </c>
      <c r="L38" s="64" t="s">
        <v>360</v>
      </c>
      <c r="M38" s="70" t="s">
        <v>380</v>
      </c>
      <c r="N38" s="70" t="s">
        <v>362</v>
      </c>
      <c r="O38" s="70" t="s">
        <v>50</v>
      </c>
      <c r="P38" s="70" t="s">
        <v>381</v>
      </c>
      <c r="Q38" s="71" t="n">
        <v>46323</v>
      </c>
      <c r="R38" s="70"/>
    </row>
    <row r="39" customFormat="false" ht="28.35" hidden="false" customHeight="false" outlineLevel="0" collapsed="false">
      <c r="A39" s="64" t="s">
        <v>43</v>
      </c>
      <c r="B39" s="64" t="s">
        <v>336</v>
      </c>
      <c r="C39" s="64" t="s">
        <v>34</v>
      </c>
      <c r="D39" s="64" t="s">
        <v>383</v>
      </c>
      <c r="E39" s="65" t="n">
        <v>0.3</v>
      </c>
      <c r="F39" s="66" t="n">
        <v>204</v>
      </c>
      <c r="G39" s="65" t="n">
        <f aca="false">F39/1000</f>
        <v>0.204</v>
      </c>
      <c r="H39" s="67" t="n">
        <f aca="false">Financial_Metrics!D8</f>
        <v>0.3</v>
      </c>
      <c r="I39" s="68" t="n">
        <f aca="false">H39-G39</f>
        <v>0.096</v>
      </c>
      <c r="J39" s="69" t="str">
        <f aca="false">IF(ABS(I39)&lt;=0.0005,"Match",IF(ABS(I39)&lt;=0.01,"Rounding","Mismatch"))</f>
        <v>Mismatch</v>
      </c>
      <c r="K39" s="64" t="s">
        <v>367</v>
      </c>
      <c r="L39" s="64" t="s">
        <v>360</v>
      </c>
      <c r="M39" s="70" t="s">
        <v>380</v>
      </c>
      <c r="N39" s="70" t="s">
        <v>362</v>
      </c>
      <c r="O39" s="70" t="s">
        <v>50</v>
      </c>
      <c r="P39" s="70" t="s">
        <v>381</v>
      </c>
      <c r="Q39" s="71" t="n">
        <v>46323</v>
      </c>
      <c r="R39" s="70" t="s">
        <v>384</v>
      </c>
    </row>
    <row r="40" customFormat="false" ht="28.35" hidden="false" customHeight="false" outlineLevel="0" collapsed="false">
      <c r="A40" s="64" t="s">
        <v>43</v>
      </c>
      <c r="B40" s="64" t="s">
        <v>336</v>
      </c>
      <c r="C40" s="64" t="s">
        <v>33</v>
      </c>
      <c r="D40" s="64" t="s">
        <v>385</v>
      </c>
      <c r="E40" s="65" t="n">
        <v>0.28</v>
      </c>
      <c r="F40" s="66" t="n">
        <v>201</v>
      </c>
      <c r="G40" s="65" t="n">
        <f aca="false">F40/1000</f>
        <v>0.201</v>
      </c>
      <c r="H40" s="67" t="n">
        <f aca="false">Financial_Metrics!C8</f>
        <v>0.28</v>
      </c>
      <c r="I40" s="68" t="n">
        <f aca="false">H40-G40</f>
        <v>0.079</v>
      </c>
      <c r="J40" s="69" t="str">
        <f aca="false">IF(ABS(I40)&lt;=0.0005,"Match",IF(ABS(I40)&lt;=0.01,"Rounding","Mismatch"))</f>
        <v>Mismatch</v>
      </c>
      <c r="K40" s="64" t="s">
        <v>367</v>
      </c>
      <c r="L40" s="64" t="s">
        <v>360</v>
      </c>
      <c r="M40" s="70" t="s">
        <v>380</v>
      </c>
      <c r="N40" s="70" t="s">
        <v>362</v>
      </c>
      <c r="O40" s="70" t="s">
        <v>50</v>
      </c>
      <c r="P40" s="70" t="s">
        <v>381</v>
      </c>
      <c r="Q40" s="71" t="n">
        <v>46323</v>
      </c>
      <c r="R40" s="70" t="s">
        <v>386</v>
      </c>
    </row>
    <row r="41" customFormat="false" ht="28.35" hidden="false" customHeight="false" outlineLevel="0" collapsed="false">
      <c r="A41" s="64" t="s">
        <v>43</v>
      </c>
      <c r="B41" s="64" t="s">
        <v>342</v>
      </c>
      <c r="C41" s="64" t="s">
        <v>35</v>
      </c>
      <c r="D41" s="64" t="s">
        <v>387</v>
      </c>
      <c r="E41" s="65" t="n">
        <v>14.06</v>
      </c>
      <c r="F41" s="66" t="n">
        <v>13433</v>
      </c>
      <c r="G41" s="65" t="n">
        <f aca="false">F41/1000</f>
        <v>13.433</v>
      </c>
      <c r="H41" s="67" t="n">
        <f aca="false">Financial_Metrics!E10</f>
        <v>14.06</v>
      </c>
      <c r="I41" s="68" t="n">
        <f aca="false">H41-G41</f>
        <v>0.627000000000001</v>
      </c>
      <c r="J41" s="69" t="str">
        <f aca="false">IF(ABS(I41)&lt;=0.0005,"Match",IF(ABS(I41)&lt;=0.01,"Rounding","Mismatch"))</f>
        <v>Mismatch</v>
      </c>
      <c r="K41" s="64" t="s">
        <v>367</v>
      </c>
      <c r="L41" s="64" t="s">
        <v>360</v>
      </c>
      <c r="M41" s="70" t="s">
        <v>388</v>
      </c>
      <c r="N41" s="70" t="s">
        <v>362</v>
      </c>
      <c r="O41" s="70" t="s">
        <v>50</v>
      </c>
      <c r="P41" s="70" t="s">
        <v>389</v>
      </c>
      <c r="Q41" s="71" t="n">
        <v>46323</v>
      </c>
      <c r="R41" s="70" t="s">
        <v>390</v>
      </c>
    </row>
    <row r="42" customFormat="false" ht="28.35" hidden="false" customHeight="false" outlineLevel="0" collapsed="false">
      <c r="A42" s="64" t="s">
        <v>43</v>
      </c>
      <c r="B42" s="64" t="s">
        <v>342</v>
      </c>
      <c r="C42" s="64" t="s">
        <v>34</v>
      </c>
      <c r="D42" s="64" t="s">
        <v>391</v>
      </c>
      <c r="E42" s="65" t="n">
        <v>13.83</v>
      </c>
      <c r="F42" s="66" t="n">
        <v>15835</v>
      </c>
      <c r="G42" s="65" t="n">
        <f aca="false">F42/1000</f>
        <v>15.835</v>
      </c>
      <c r="H42" s="67" t="n">
        <f aca="false">Financial_Metrics!D10</f>
        <v>13.83</v>
      </c>
      <c r="I42" s="68" t="n">
        <f aca="false">H42-G42</f>
        <v>-2.005</v>
      </c>
      <c r="J42" s="69" t="str">
        <f aca="false">IF(ABS(I42)&lt;=0.0005,"Match",IF(ABS(I42)&lt;=0.01,"Rounding","Mismatch"))</f>
        <v>Mismatch</v>
      </c>
      <c r="K42" s="64" t="s">
        <v>367</v>
      </c>
      <c r="L42" s="64" t="s">
        <v>360</v>
      </c>
      <c r="M42" s="70" t="s">
        <v>388</v>
      </c>
      <c r="N42" s="70" t="s">
        <v>362</v>
      </c>
      <c r="O42" s="70" t="s">
        <v>50</v>
      </c>
      <c r="P42" s="70" t="s">
        <v>389</v>
      </c>
      <c r="Q42" s="71" t="n">
        <v>46323</v>
      </c>
      <c r="R42" s="70"/>
    </row>
    <row r="43" customFormat="false" ht="28.35" hidden="false" customHeight="false" outlineLevel="0" collapsed="false">
      <c r="A43" s="64" t="s">
        <v>43</v>
      </c>
      <c r="B43" s="64" t="s">
        <v>342</v>
      </c>
      <c r="C43" s="64" t="s">
        <v>33</v>
      </c>
      <c r="D43" s="64" t="s">
        <v>392</v>
      </c>
      <c r="E43" s="65" t="n">
        <v>13.5</v>
      </c>
      <c r="F43" s="66" t="n">
        <v>18488</v>
      </c>
      <c r="G43" s="65" t="n">
        <f aca="false">F43/1000</f>
        <v>18.488</v>
      </c>
      <c r="H43" s="67" t="n">
        <f aca="false">Financial_Metrics!C10</f>
        <v>13.5</v>
      </c>
      <c r="I43" s="68" t="n">
        <f aca="false">H43-G43</f>
        <v>-4.988</v>
      </c>
      <c r="J43" s="69" t="str">
        <f aca="false">IF(ABS(I43)&lt;=0.0005,"Match",IF(ABS(I43)&lt;=0.01,"Rounding","Mismatch"))</f>
        <v>Mismatch</v>
      </c>
      <c r="K43" s="64" t="s">
        <v>367</v>
      </c>
      <c r="L43" s="64" t="s">
        <v>360</v>
      </c>
      <c r="M43" s="70" t="s">
        <v>388</v>
      </c>
      <c r="N43" s="70" t="s">
        <v>362</v>
      </c>
      <c r="O43" s="70" t="s">
        <v>50</v>
      </c>
      <c r="P43" s="70" t="s">
        <v>389</v>
      </c>
      <c r="Q43" s="71" t="n">
        <v>46323</v>
      </c>
      <c r="R43" s="70"/>
    </row>
    <row r="44" customFormat="false" ht="28.35" hidden="false" customHeight="false" outlineLevel="0" collapsed="false">
      <c r="A44" s="64" t="s">
        <v>43</v>
      </c>
      <c r="B44" s="64" t="s">
        <v>348</v>
      </c>
      <c r="C44" s="64" t="s">
        <v>35</v>
      </c>
      <c r="D44" s="64" t="s">
        <v>393</v>
      </c>
      <c r="E44" s="65" t="n">
        <v>13.26</v>
      </c>
      <c r="F44" s="66" t="n">
        <v>12630</v>
      </c>
      <c r="G44" s="65" t="n">
        <f aca="false">F44/1000</f>
        <v>12.63</v>
      </c>
      <c r="H44" s="67" t="n">
        <f aca="false">Financial_Metrics!E11</f>
        <v>13.26</v>
      </c>
      <c r="I44" s="68" t="n">
        <f aca="false">H44-G44</f>
        <v>0.629999999999999</v>
      </c>
      <c r="J44" s="69" t="str">
        <f aca="false">IF(ABS(I44)&lt;=0.0005,"Match",IF(ABS(I44)&lt;=0.01,"Rounding","Mismatch"))</f>
        <v>Mismatch</v>
      </c>
      <c r="K44" s="64" t="s">
        <v>367</v>
      </c>
      <c r="L44" s="64" t="s">
        <v>360</v>
      </c>
      <c r="M44" s="70" t="s">
        <v>388</v>
      </c>
      <c r="N44" s="70" t="s">
        <v>362</v>
      </c>
      <c r="O44" s="70" t="s">
        <v>50</v>
      </c>
      <c r="P44" s="70" t="s">
        <v>389</v>
      </c>
      <c r="Q44" s="71" t="n">
        <v>46323</v>
      </c>
      <c r="R44" s="70" t="s">
        <v>390</v>
      </c>
    </row>
    <row r="45" customFormat="false" ht="28.35" hidden="false" customHeight="false" outlineLevel="0" collapsed="false">
      <c r="A45" s="64" t="s">
        <v>43</v>
      </c>
      <c r="B45" s="64" t="s">
        <v>348</v>
      </c>
      <c r="C45" s="64" t="s">
        <v>34</v>
      </c>
      <c r="D45" s="64" t="s">
        <v>394</v>
      </c>
      <c r="E45" s="65" t="n">
        <v>12.93</v>
      </c>
      <c r="F45" s="66" t="n">
        <v>14779</v>
      </c>
      <c r="G45" s="65" t="n">
        <f aca="false">F45/1000</f>
        <v>14.779</v>
      </c>
      <c r="H45" s="67" t="n">
        <f aca="false">Financial_Metrics!D11</f>
        <v>12.93</v>
      </c>
      <c r="I45" s="68" t="n">
        <f aca="false">H45-G45</f>
        <v>-1.849</v>
      </c>
      <c r="J45" s="69" t="str">
        <f aca="false">IF(ABS(I45)&lt;=0.0005,"Match",IF(ABS(I45)&lt;=0.01,"Rounding","Mismatch"))</f>
        <v>Mismatch</v>
      </c>
      <c r="K45" s="64" t="s">
        <v>367</v>
      </c>
      <c r="L45" s="64" t="s">
        <v>360</v>
      </c>
      <c r="M45" s="70" t="s">
        <v>388</v>
      </c>
      <c r="N45" s="70" t="s">
        <v>362</v>
      </c>
      <c r="O45" s="70" t="s">
        <v>50</v>
      </c>
      <c r="P45" s="70" t="s">
        <v>389</v>
      </c>
      <c r="Q45" s="71" t="n">
        <v>46323</v>
      </c>
      <c r="R45" s="70"/>
    </row>
    <row r="46" customFormat="false" ht="28.35" hidden="false" customHeight="false" outlineLevel="0" collapsed="false">
      <c r="A46" s="64" t="s">
        <v>43</v>
      </c>
      <c r="B46" s="64" t="s">
        <v>348</v>
      </c>
      <c r="C46" s="64" t="s">
        <v>33</v>
      </c>
      <c r="D46" s="64" t="s">
        <v>395</v>
      </c>
      <c r="E46" s="65" t="n">
        <v>12.6</v>
      </c>
      <c r="F46" s="66" t="n">
        <v>14724</v>
      </c>
      <c r="G46" s="65" t="n">
        <f aca="false">F46/1000</f>
        <v>14.724</v>
      </c>
      <c r="H46" s="67" t="n">
        <f aca="false">Financial_Metrics!C11</f>
        <v>12.6</v>
      </c>
      <c r="I46" s="68" t="n">
        <f aca="false">H46-G46</f>
        <v>-2.124</v>
      </c>
      <c r="J46" s="69" t="str">
        <f aca="false">IF(ABS(I46)&lt;=0.0005,"Match",IF(ABS(I46)&lt;=0.01,"Rounding","Mismatch"))</f>
        <v>Mismatch</v>
      </c>
      <c r="K46" s="64" t="s">
        <v>367</v>
      </c>
      <c r="L46" s="64" t="s">
        <v>360</v>
      </c>
      <c r="M46" s="70" t="s">
        <v>388</v>
      </c>
      <c r="N46" s="70" t="s">
        <v>362</v>
      </c>
      <c r="O46" s="70" t="s">
        <v>50</v>
      </c>
      <c r="P46" s="70" t="s">
        <v>389</v>
      </c>
      <c r="Q46" s="71" t="n">
        <v>46323</v>
      </c>
      <c r="R46" s="70"/>
    </row>
    <row r="47" customFormat="false" ht="28.35" hidden="false" customHeight="false" outlineLevel="0" collapsed="false">
      <c r="A47" s="64" t="s">
        <v>43</v>
      </c>
      <c r="B47" s="64" t="s">
        <v>353</v>
      </c>
      <c r="C47" s="64" t="s">
        <v>35</v>
      </c>
      <c r="D47" s="64" t="s">
        <v>396</v>
      </c>
      <c r="E47" s="65" t="n">
        <v>5.95</v>
      </c>
      <c r="F47" s="66" t="n">
        <v>5934</v>
      </c>
      <c r="G47" s="65" t="n">
        <f aca="false">F47/1000</f>
        <v>5.934</v>
      </c>
      <c r="H47" s="67" t="n">
        <f aca="false">Financial_Metrics!E13</f>
        <v>5.95</v>
      </c>
      <c r="I47" s="68" t="n">
        <f aca="false">H47-G47</f>
        <v>0.016</v>
      </c>
      <c r="J47" s="69" t="str">
        <f aca="false">IF(ABS(I47)&lt;=0.0005,"Match",IF(ABS(I47)&lt;=0.01,"Rounding","Mismatch"))</f>
        <v>Mismatch</v>
      </c>
      <c r="K47" s="64" t="s">
        <v>367</v>
      </c>
      <c r="L47" s="64" t="s">
        <v>360</v>
      </c>
      <c r="M47" s="70" t="s">
        <v>397</v>
      </c>
      <c r="N47" s="70" t="s">
        <v>362</v>
      </c>
      <c r="O47" s="70" t="s">
        <v>50</v>
      </c>
      <c r="P47" s="70" t="s">
        <v>398</v>
      </c>
      <c r="Q47" s="71" t="n">
        <v>46323</v>
      </c>
      <c r="R47" s="70" t="s">
        <v>399</v>
      </c>
    </row>
    <row r="48" customFormat="false" ht="28.35" hidden="false" customHeight="false" outlineLevel="0" collapsed="false">
      <c r="A48" s="64" t="s">
        <v>43</v>
      </c>
      <c r="B48" s="64" t="s">
        <v>353</v>
      </c>
      <c r="C48" s="64" t="s">
        <v>34</v>
      </c>
      <c r="D48" s="64" t="s">
        <v>400</v>
      </c>
      <c r="E48" s="65" t="n">
        <v>5.48</v>
      </c>
      <c r="F48" s="66" t="n">
        <v>5467</v>
      </c>
      <c r="G48" s="65" t="n">
        <f aca="false">F48/1000</f>
        <v>5.467</v>
      </c>
      <c r="H48" s="67" t="n">
        <f aca="false">Financial_Metrics!D13</f>
        <v>5.48</v>
      </c>
      <c r="I48" s="68" t="n">
        <f aca="false">H48-G48</f>
        <v>0.0130000000000008</v>
      </c>
      <c r="J48" s="69" t="str">
        <f aca="false">IF(ABS(I48)&lt;=0.0005,"Match",IF(ABS(I48)&lt;=0.01,"Rounding","Mismatch"))</f>
        <v>Mismatch</v>
      </c>
      <c r="K48" s="64" t="s">
        <v>367</v>
      </c>
      <c r="L48" s="64" t="s">
        <v>360</v>
      </c>
      <c r="M48" s="70" t="s">
        <v>397</v>
      </c>
      <c r="N48" s="70" t="s">
        <v>362</v>
      </c>
      <c r="O48" s="70" t="s">
        <v>50</v>
      </c>
      <c r="P48" s="70" t="s">
        <v>398</v>
      </c>
      <c r="Q48" s="71" t="n">
        <v>46323</v>
      </c>
      <c r="R48" s="70" t="s">
        <v>401</v>
      </c>
    </row>
    <row r="49" customFormat="false" ht="28.35" hidden="false" customHeight="false" outlineLevel="0" collapsed="false">
      <c r="A49" s="64" t="s">
        <v>43</v>
      </c>
      <c r="B49" s="64" t="s">
        <v>353</v>
      </c>
      <c r="C49" s="64" t="s">
        <v>33</v>
      </c>
      <c r="D49" s="64" t="s">
        <v>402</v>
      </c>
      <c r="E49" s="65" t="n">
        <v>5.49</v>
      </c>
      <c r="F49" s="66" t="n">
        <v>5471</v>
      </c>
      <c r="G49" s="65" t="n">
        <f aca="false">F49/1000</f>
        <v>5.471</v>
      </c>
      <c r="H49" s="67" t="n">
        <f aca="false">Financial_Metrics!C13</f>
        <v>5.49</v>
      </c>
      <c r="I49" s="68" t="n">
        <f aca="false">H49-G49</f>
        <v>0.0190000000000001</v>
      </c>
      <c r="J49" s="69" t="str">
        <f aca="false">IF(ABS(I49)&lt;=0.0005,"Match",IF(ABS(I49)&lt;=0.01,"Rounding","Mismatch"))</f>
        <v>Mismatch</v>
      </c>
      <c r="K49" s="64" t="s">
        <v>367</v>
      </c>
      <c r="L49" s="64" t="s">
        <v>360</v>
      </c>
      <c r="M49" s="70" t="s">
        <v>397</v>
      </c>
      <c r="N49" s="70" t="s">
        <v>362</v>
      </c>
      <c r="O49" s="70" t="s">
        <v>50</v>
      </c>
      <c r="P49" s="70" t="s">
        <v>398</v>
      </c>
      <c r="Q49" s="71" t="n">
        <v>46323</v>
      </c>
      <c r="R49" s="70" t="s">
        <v>401</v>
      </c>
    </row>
    <row r="50" customFormat="false" ht="28.35" hidden="false" customHeight="false" outlineLevel="0" collapsed="false">
      <c r="A50" s="64" t="s">
        <v>43</v>
      </c>
      <c r="B50" s="64" t="s">
        <v>330</v>
      </c>
      <c r="C50" s="64" t="s">
        <v>38</v>
      </c>
      <c r="D50" s="64" t="s">
        <v>403</v>
      </c>
      <c r="E50" s="65" t="n">
        <v>2.04</v>
      </c>
      <c r="F50" s="66" t="n">
        <v>1800</v>
      </c>
      <c r="G50" s="65" t="n">
        <f aca="false">F50/1000</f>
        <v>1.8</v>
      </c>
      <c r="H50" s="67" t="n">
        <f aca="false">Financial_Metrics!H7</f>
        <v>2.04</v>
      </c>
      <c r="I50" s="68" t="n">
        <f aca="false">H50-G50</f>
        <v>0.24</v>
      </c>
      <c r="J50" s="69" t="str">
        <f aca="false">IF(ABS(I50)&lt;=0.0005,"Match",IF(ABS(I50)&lt;=0.01,"Rounding","Mismatch"))</f>
        <v>Mismatch</v>
      </c>
      <c r="K50" s="64" t="s">
        <v>367</v>
      </c>
      <c r="L50" s="64" t="s">
        <v>360</v>
      </c>
      <c r="M50" s="70" t="s">
        <v>380</v>
      </c>
      <c r="N50" s="70" t="s">
        <v>362</v>
      </c>
      <c r="O50" s="70" t="s">
        <v>50</v>
      </c>
      <c r="P50" s="70" t="s">
        <v>381</v>
      </c>
      <c r="Q50" s="71" t="n">
        <v>46323</v>
      </c>
      <c r="R50" s="70" t="s">
        <v>404</v>
      </c>
    </row>
    <row r="51" customFormat="false" ht="28.35" hidden="false" customHeight="false" outlineLevel="0" collapsed="false">
      <c r="A51" s="64" t="s">
        <v>43</v>
      </c>
      <c r="B51" s="64" t="s">
        <v>336</v>
      </c>
      <c r="C51" s="64" t="s">
        <v>38</v>
      </c>
      <c r="D51" s="64" t="s">
        <v>405</v>
      </c>
      <c r="E51" s="65" t="n">
        <v>0.35</v>
      </c>
      <c r="F51" s="66" t="n">
        <v>233</v>
      </c>
      <c r="G51" s="65" t="n">
        <f aca="false">F51/1000</f>
        <v>0.233</v>
      </c>
      <c r="H51" s="67" t="n">
        <f aca="false">Financial_Metrics!H8</f>
        <v>0.35</v>
      </c>
      <c r="I51" s="68" t="n">
        <f aca="false">H51-G51</f>
        <v>0.117</v>
      </c>
      <c r="J51" s="69" t="str">
        <f aca="false">IF(ABS(I51)&lt;=0.0005,"Match",IF(ABS(I51)&lt;=0.01,"Rounding","Mismatch"))</f>
        <v>Mismatch</v>
      </c>
      <c r="K51" s="64" t="s">
        <v>367</v>
      </c>
      <c r="L51" s="64" t="s">
        <v>360</v>
      </c>
      <c r="M51" s="70" t="s">
        <v>380</v>
      </c>
      <c r="N51" s="70" t="s">
        <v>362</v>
      </c>
      <c r="O51" s="70" t="s">
        <v>50</v>
      </c>
      <c r="P51" s="70" t="s">
        <v>381</v>
      </c>
      <c r="Q51" s="71" t="n">
        <v>46323</v>
      </c>
      <c r="R51" s="70" t="s">
        <v>406</v>
      </c>
    </row>
  </sheetData>
  <autoFilter ref="A4:R51"/>
  <conditionalFormatting sqref="K5:K51">
    <cfRule type="expression" priority="2" aboveAverage="0" equalAverage="0" bottom="0" percent="0" rank="0" text="" dxfId="0">
      <formula>LEFT($K5,8)="Verified"</formula>
    </cfRule>
    <cfRule type="expression" priority="3" aboveAverage="0" equalAverage="0" bottom="0" percent="0" rank="0" text="" dxfId="1">
      <formula>LEFT($K5,9)="Corrected"</formula>
    </cfRule>
    <cfRule type="expression" priority="4" aboveAverage="0" equalAverage="0" bottom="0" percent="0" rank="0" text="" dxfId="2">
      <formula>LEFT($K5,11)="Discrepancy"</formula>
    </cfRule>
    <cfRule type="expression" priority="5" aboveAverage="0" equalAverage="0" bottom="0" percent="0" rank="0" text="" dxfId="13">
      <formula>LEFT($K5,5)="Cross"</formula>
    </cfRule>
  </conditionalFormatting>
  <conditionalFormatting sqref="J5:J51">
    <cfRule type="cellIs" priority="6" operator="equal" aboveAverage="0" equalAverage="0" bottom="0" percent="0" rank="0" text="" dxfId="2">
      <formula>"Mismatch"</formula>
    </cfRule>
    <cfRule type="cellIs" priority="7" operator="equal" aboveAverage="0" equalAverage="0" bottom="0" percent="0" rank="0" text="" dxfId="1">
      <formula>"Rounding"</formula>
    </cfRule>
    <cfRule type="cellIs" priority="8" operator="equal" aboveAverage="0" equalAverage="0" bottom="0" percent="0" rank="0" text="" dxfId="0">
      <formula>"Match"</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true"/>
  </sheetPr>
  <dimension ref="A1:G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22" width="12"/>
    <col collapsed="false" customWidth="true" hidden="false" outlineLevel="0" max="2" min="2" style="22" width="34"/>
    <col collapsed="false" customWidth="true" hidden="false" outlineLevel="0" max="3" min="3" style="22" width="20"/>
    <col collapsed="false" customWidth="true" hidden="false" outlineLevel="0" max="4" min="4" style="22" width="18"/>
    <col collapsed="false" customWidth="true" hidden="false" outlineLevel="0" max="5" min="5" style="22" width="24"/>
    <col collapsed="false" customWidth="true" hidden="false" outlineLevel="0" max="6" min="6" style="22" width="58"/>
    <col collapsed="false" customWidth="true" hidden="false" outlineLevel="0" max="7" min="7" style="22" width="72"/>
  </cols>
  <sheetData>
    <row r="1" customFormat="false" ht="31.5" hidden="false" customHeight="true" outlineLevel="0" collapsed="false">
      <c r="A1" s="3" t="s">
        <v>2</v>
      </c>
      <c r="B1" s="3" t="s">
        <v>287</v>
      </c>
      <c r="C1" s="3" t="s">
        <v>115</v>
      </c>
      <c r="D1" s="3" t="s">
        <v>407</v>
      </c>
      <c r="E1" s="3" t="s">
        <v>408</v>
      </c>
      <c r="F1" s="3" t="s">
        <v>409</v>
      </c>
      <c r="G1" s="3" t="s">
        <v>410</v>
      </c>
    </row>
    <row r="2" customFormat="false" ht="28.35" hidden="false" customHeight="false" outlineLevel="0" collapsed="false">
      <c r="A2" s="59" t="s">
        <v>43</v>
      </c>
      <c r="B2" s="59" t="s">
        <v>44</v>
      </c>
      <c r="C2" s="59" t="s">
        <v>35</v>
      </c>
      <c r="D2" s="59" t="n">
        <v>9.48</v>
      </c>
      <c r="E2" s="59" t="n">
        <v>9.483</v>
      </c>
      <c r="F2" s="26" t="s">
        <v>45</v>
      </c>
      <c r="G2" s="26" t="s">
        <v>411</v>
      </c>
    </row>
    <row r="3" customFormat="false" ht="28.35" hidden="false" customHeight="false" outlineLevel="0" collapsed="false">
      <c r="A3" s="59" t="s">
        <v>43</v>
      </c>
      <c r="B3" s="59" t="s">
        <v>55</v>
      </c>
      <c r="C3" s="59" t="s">
        <v>35</v>
      </c>
      <c r="D3" s="59" t="n">
        <v>1.93</v>
      </c>
      <c r="E3" s="59" t="n">
        <v>1.365</v>
      </c>
      <c r="F3" s="26" t="s">
        <v>45</v>
      </c>
      <c r="G3" s="26" t="s">
        <v>411</v>
      </c>
    </row>
    <row r="4" customFormat="false" ht="28.35" hidden="false" customHeight="false" outlineLevel="0" collapsed="false">
      <c r="A4" s="59" t="s">
        <v>43</v>
      </c>
      <c r="B4" s="59" t="s">
        <v>55</v>
      </c>
      <c r="C4" s="59" t="s">
        <v>36</v>
      </c>
      <c r="D4" s="59" t="n">
        <v>2.2</v>
      </c>
      <c r="E4" s="59" t="n">
        <v>0.627</v>
      </c>
      <c r="F4" s="26" t="s">
        <v>45</v>
      </c>
      <c r="G4" s="26" t="s">
        <v>411</v>
      </c>
    </row>
    <row r="5" customFormat="false" ht="28.35" hidden="false" customHeight="false" outlineLevel="0" collapsed="false">
      <c r="A5" s="59" t="s">
        <v>43</v>
      </c>
      <c r="B5" s="59" t="s">
        <v>56</v>
      </c>
      <c r="C5" s="59" t="s">
        <v>35</v>
      </c>
      <c r="D5" s="59" t="n">
        <v>1.06</v>
      </c>
      <c r="E5" s="59" t="n">
        <v>1.064</v>
      </c>
      <c r="F5" s="26" t="s">
        <v>45</v>
      </c>
      <c r="G5" s="26" t="s">
        <v>411</v>
      </c>
    </row>
    <row r="6" customFormat="false" ht="28.35" hidden="false" customHeight="false" outlineLevel="0" collapsed="false">
      <c r="A6" s="59" t="s">
        <v>43</v>
      </c>
      <c r="B6" s="59" t="s">
        <v>56</v>
      </c>
      <c r="C6" s="59" t="s">
        <v>36</v>
      </c>
      <c r="D6" s="59" t="n">
        <v>-0.1</v>
      </c>
      <c r="E6" s="59" t="n">
        <v>-0.098</v>
      </c>
      <c r="F6" s="26" t="s">
        <v>45</v>
      </c>
      <c r="G6" s="26" t="s">
        <v>412</v>
      </c>
    </row>
    <row r="7" customFormat="false" ht="28.35" hidden="false" customHeight="false" outlineLevel="0" collapsed="false">
      <c r="A7" s="59" t="s">
        <v>43</v>
      </c>
      <c r="B7" s="59" t="s">
        <v>62</v>
      </c>
      <c r="C7" s="59" t="s">
        <v>36</v>
      </c>
      <c r="D7" s="59" t="n">
        <v>1.61</v>
      </c>
      <c r="E7" s="59" t="n">
        <v>1.512</v>
      </c>
      <c r="F7" s="26" t="s">
        <v>45</v>
      </c>
      <c r="G7" s="26" t="s">
        <v>411</v>
      </c>
    </row>
    <row r="8" customFormat="false" ht="28.35" hidden="false" customHeight="false" outlineLevel="0" collapsed="false">
      <c r="A8" s="59" t="s">
        <v>43</v>
      </c>
      <c r="B8" s="59" t="s">
        <v>62</v>
      </c>
      <c r="C8" s="59" t="s">
        <v>37</v>
      </c>
      <c r="D8" s="59" t="n">
        <v>1.89</v>
      </c>
      <c r="E8" s="59" t="n">
        <v>1.775</v>
      </c>
      <c r="F8" s="26" t="s">
        <v>45</v>
      </c>
      <c r="G8" s="26" t="s">
        <v>411</v>
      </c>
    </row>
    <row r="9" customFormat="false" ht="28.35" hidden="false" customHeight="false" outlineLevel="0" collapsed="false">
      <c r="A9" s="59" t="s">
        <v>43</v>
      </c>
      <c r="B9" s="59" t="s">
        <v>64</v>
      </c>
      <c r="C9" s="59" t="s">
        <v>36</v>
      </c>
      <c r="D9" s="59" t="n">
        <v>0.34</v>
      </c>
      <c r="E9" s="59" t="n">
        <v>0.245</v>
      </c>
      <c r="F9" s="26" t="s">
        <v>45</v>
      </c>
      <c r="G9" s="26" t="s">
        <v>411</v>
      </c>
    </row>
    <row r="10" customFormat="false" ht="28.35" hidden="false" customHeight="false" outlineLevel="0" collapsed="false">
      <c r="A10" s="59" t="s">
        <v>43</v>
      </c>
      <c r="B10" s="59" t="s">
        <v>64</v>
      </c>
      <c r="C10" s="59" t="s">
        <v>37</v>
      </c>
      <c r="D10" s="59" t="n">
        <v>0.34</v>
      </c>
      <c r="E10" s="59" t="n">
        <v>0.229</v>
      </c>
      <c r="F10" s="26" t="s">
        <v>45</v>
      </c>
      <c r="G10" s="26" t="s">
        <v>411</v>
      </c>
    </row>
    <row r="11" customFormat="false" ht="28.35" hidden="false" customHeight="false" outlineLevel="0" collapsed="false">
      <c r="A11" s="59" t="s">
        <v>43</v>
      </c>
      <c r="B11" s="59" t="s">
        <v>75</v>
      </c>
      <c r="C11" s="59" t="s">
        <v>36</v>
      </c>
      <c r="D11" s="59" t="n">
        <v>0.34</v>
      </c>
      <c r="E11" s="59" t="n">
        <v>0.263</v>
      </c>
      <c r="F11" s="26" t="s">
        <v>45</v>
      </c>
      <c r="G11" s="26" t="s">
        <v>411</v>
      </c>
    </row>
    <row r="12" customFormat="false" ht="28.35" hidden="false" customHeight="false" outlineLevel="0" collapsed="false">
      <c r="A12" s="59" t="s">
        <v>78</v>
      </c>
      <c r="B12" s="59" t="s">
        <v>44</v>
      </c>
      <c r="C12" s="59" t="s">
        <v>35</v>
      </c>
      <c r="D12" s="59" t="n">
        <v>13.4</v>
      </c>
      <c r="E12" s="59" t="n">
        <v>13.376</v>
      </c>
      <c r="F12" s="26" t="s">
        <v>79</v>
      </c>
      <c r="G12" s="26" t="s">
        <v>411</v>
      </c>
    </row>
    <row r="13" customFormat="false" ht="28.35" hidden="false" customHeight="false" outlineLevel="0" collapsed="false">
      <c r="A13" s="59" t="s">
        <v>78</v>
      </c>
      <c r="B13" s="59" t="s">
        <v>44</v>
      </c>
      <c r="C13" s="59" t="s">
        <v>36</v>
      </c>
      <c r="D13" s="59" t="n">
        <v>14.1</v>
      </c>
      <c r="E13" s="59" t="n">
        <v>15.698</v>
      </c>
      <c r="F13" s="26" t="s">
        <v>79</v>
      </c>
      <c r="G13" s="26" t="s">
        <v>411</v>
      </c>
    </row>
    <row r="14" customFormat="false" ht="28.35" hidden="false" customHeight="false" outlineLevel="0" collapsed="false">
      <c r="A14" s="59" t="s">
        <v>78</v>
      </c>
      <c r="B14" s="59" t="s">
        <v>55</v>
      </c>
      <c r="C14" s="59" t="s">
        <v>35</v>
      </c>
      <c r="D14" s="59" t="n">
        <v>3.4</v>
      </c>
      <c r="E14" s="59" t="n">
        <v>3.785</v>
      </c>
      <c r="F14" s="26" t="s">
        <v>79</v>
      </c>
      <c r="G14" s="26" t="s">
        <v>411</v>
      </c>
    </row>
    <row r="15" customFormat="false" ht="28.35" hidden="false" customHeight="false" outlineLevel="0" collapsed="false">
      <c r="A15" s="59" t="s">
        <v>78</v>
      </c>
      <c r="B15" s="59" t="s">
        <v>55</v>
      </c>
      <c r="C15" s="59" t="s">
        <v>36</v>
      </c>
      <c r="D15" s="59" t="n">
        <v>3.5</v>
      </c>
      <c r="E15" s="59" t="n">
        <v>3.835</v>
      </c>
      <c r="F15" s="26" t="s">
        <v>79</v>
      </c>
      <c r="G15" s="26" t="s">
        <v>411</v>
      </c>
    </row>
    <row r="16" customFormat="false" ht="28.35" hidden="false" customHeight="false" outlineLevel="0" collapsed="false">
      <c r="A16" s="59" t="s">
        <v>78</v>
      </c>
      <c r="B16" s="59" t="s">
        <v>56</v>
      </c>
      <c r="C16" s="59" t="s">
        <v>35</v>
      </c>
      <c r="D16" s="59" t="n">
        <v>2.7</v>
      </c>
      <c r="E16" s="59" t="n">
        <v>2.564</v>
      </c>
      <c r="F16" s="26" t="s">
        <v>79</v>
      </c>
      <c r="G16" s="26" t="s">
        <v>411</v>
      </c>
    </row>
    <row r="17" customFormat="false" ht="28.35" hidden="false" customHeight="false" outlineLevel="0" collapsed="false">
      <c r="A17" s="59" t="s">
        <v>78</v>
      </c>
      <c r="B17" s="59" t="s">
        <v>56</v>
      </c>
      <c r="C17" s="59" t="s">
        <v>36</v>
      </c>
      <c r="D17" s="59" t="n">
        <v>2.9</v>
      </c>
      <c r="E17" s="59" t="n">
        <v>2.654</v>
      </c>
      <c r="F17" s="26" t="s">
        <v>79</v>
      </c>
      <c r="G17" s="26" t="s">
        <v>411</v>
      </c>
    </row>
    <row r="18" customFormat="false" ht="28.35" hidden="false" customHeight="false" outlineLevel="0" collapsed="false">
      <c r="A18" s="59" t="s">
        <v>78</v>
      </c>
      <c r="B18" s="59" t="s">
        <v>75</v>
      </c>
      <c r="C18" s="59" t="s">
        <v>36</v>
      </c>
      <c r="D18" s="59" t="n">
        <v>0.5</v>
      </c>
      <c r="E18" s="59" t="n">
        <v>0.788</v>
      </c>
      <c r="F18" s="26" t="s">
        <v>79</v>
      </c>
      <c r="G18" s="26" t="s">
        <v>411</v>
      </c>
    </row>
    <row r="19" customFormat="false" ht="28.35" hidden="false" customHeight="false" outlineLevel="0" collapsed="false">
      <c r="A19" s="59" t="s">
        <v>83</v>
      </c>
      <c r="B19" s="59" t="s">
        <v>44</v>
      </c>
      <c r="C19" s="59" t="s">
        <v>35</v>
      </c>
      <c r="D19" s="59" t="n">
        <v>22.7</v>
      </c>
      <c r="E19" s="59" t="n">
        <v>22.736</v>
      </c>
      <c r="F19" s="26" t="s">
        <v>84</v>
      </c>
      <c r="G19" s="26" t="s">
        <v>411</v>
      </c>
    </row>
    <row r="20" customFormat="false" ht="28.35" hidden="false" customHeight="false" outlineLevel="0" collapsed="false">
      <c r="A20" s="59" t="s">
        <v>83</v>
      </c>
      <c r="B20" s="59" t="s">
        <v>44</v>
      </c>
      <c r="C20" s="59" t="s">
        <v>36</v>
      </c>
      <c r="D20" s="59" t="n">
        <v>23.5</v>
      </c>
      <c r="E20" s="59" t="n">
        <v>24.458</v>
      </c>
      <c r="F20" s="26" t="s">
        <v>84</v>
      </c>
      <c r="G20" s="26" t="s">
        <v>411</v>
      </c>
    </row>
    <row r="21" customFormat="false" ht="28.35" hidden="false" customHeight="false" outlineLevel="0" collapsed="false">
      <c r="A21" s="59" t="s">
        <v>83</v>
      </c>
      <c r="B21" s="59" t="s">
        <v>55</v>
      </c>
      <c r="C21" s="59" t="s">
        <v>35</v>
      </c>
      <c r="D21" s="59" t="n">
        <v>5.1</v>
      </c>
      <c r="E21" s="59" t="n">
        <v>5.282</v>
      </c>
      <c r="F21" s="26" t="s">
        <v>84</v>
      </c>
      <c r="G21" s="26" t="s">
        <v>411</v>
      </c>
    </row>
    <row r="22" customFormat="false" ht="28.35" hidden="false" customHeight="false" outlineLevel="0" collapsed="false">
      <c r="A22" s="59" t="s">
        <v>83</v>
      </c>
      <c r="B22" s="59" t="s">
        <v>55</v>
      </c>
      <c r="C22" s="59" t="s">
        <v>36</v>
      </c>
      <c r="D22" s="59" t="n">
        <v>5.4</v>
      </c>
      <c r="E22" s="59" t="n">
        <v>5.817</v>
      </c>
      <c r="F22" s="26" t="s">
        <v>84</v>
      </c>
      <c r="G22" s="26" t="s">
        <v>411</v>
      </c>
    </row>
    <row r="23" customFormat="false" ht="28.35" hidden="false" customHeight="false" outlineLevel="0" collapsed="false">
      <c r="A23" s="59" t="s">
        <v>83</v>
      </c>
      <c r="B23" s="59" t="s">
        <v>56</v>
      </c>
      <c r="C23" s="59" t="s">
        <v>35</v>
      </c>
      <c r="D23" s="59" t="n">
        <v>3.8</v>
      </c>
      <c r="E23" s="59" t="n">
        <v>3.756</v>
      </c>
      <c r="F23" s="26" t="s">
        <v>84</v>
      </c>
      <c r="G23" s="26" t="s">
        <v>411</v>
      </c>
    </row>
    <row r="24" customFormat="false" ht="28.35" hidden="false" customHeight="false" outlineLevel="0" collapsed="false">
      <c r="A24" s="59" t="s">
        <v>83</v>
      </c>
      <c r="B24" s="59" t="s">
        <v>56</v>
      </c>
      <c r="C24" s="59" t="s">
        <v>36</v>
      </c>
      <c r="D24" s="59" t="n">
        <v>4.1</v>
      </c>
      <c r="E24" s="59" t="n">
        <v>4.06</v>
      </c>
      <c r="F24" s="26" t="s">
        <v>84</v>
      </c>
      <c r="G24" s="26" t="s">
        <v>411</v>
      </c>
    </row>
    <row r="25" customFormat="false" ht="28.35" hidden="false" customHeight="false" outlineLevel="0" collapsed="false">
      <c r="A25" s="59" t="s">
        <v>83</v>
      </c>
      <c r="B25" s="59" t="s">
        <v>75</v>
      </c>
      <c r="C25" s="59" t="s">
        <v>35</v>
      </c>
      <c r="D25" s="59" t="n">
        <v>0.55</v>
      </c>
      <c r="E25" s="59" t="n">
        <v>0.578</v>
      </c>
      <c r="F25" s="26" t="s">
        <v>84</v>
      </c>
      <c r="G25" s="26" t="s">
        <v>411</v>
      </c>
    </row>
    <row r="26" customFormat="false" ht="28.35" hidden="false" customHeight="false" outlineLevel="0" collapsed="false">
      <c r="A26" s="59" t="s">
        <v>83</v>
      </c>
      <c r="B26" s="59" t="s">
        <v>75</v>
      </c>
      <c r="C26" s="59" t="s">
        <v>36</v>
      </c>
      <c r="D26" s="59" t="n">
        <v>0.58</v>
      </c>
      <c r="E26" s="59" t="n">
        <v>0.7</v>
      </c>
      <c r="F26" s="26" t="s">
        <v>84</v>
      </c>
      <c r="G26" s="26" t="s">
        <v>411</v>
      </c>
    </row>
    <row r="27" customFormat="false" ht="28.35" hidden="false" customHeight="false" outlineLevel="0" collapsed="false">
      <c r="A27" s="59" t="s">
        <v>85</v>
      </c>
      <c r="B27" s="59" t="s">
        <v>44</v>
      </c>
      <c r="C27" s="59" t="s">
        <v>35</v>
      </c>
      <c r="D27" s="59" t="n">
        <v>9.9</v>
      </c>
      <c r="E27" s="59" t="n">
        <v>10.072</v>
      </c>
      <c r="F27" s="26" t="s">
        <v>86</v>
      </c>
      <c r="G27" s="26" t="s">
        <v>411</v>
      </c>
    </row>
    <row r="28" customFormat="false" ht="28.35" hidden="false" customHeight="false" outlineLevel="0" collapsed="false">
      <c r="A28" s="59" t="s">
        <v>85</v>
      </c>
      <c r="B28" s="59" t="s">
        <v>44</v>
      </c>
      <c r="C28" s="59" t="s">
        <v>36</v>
      </c>
      <c r="D28" s="59" t="n">
        <v>11.2</v>
      </c>
      <c r="E28" s="59" t="n">
        <v>11.555</v>
      </c>
      <c r="F28" s="26" t="s">
        <v>86</v>
      </c>
      <c r="G28" s="26" t="s">
        <v>411</v>
      </c>
    </row>
    <row r="29" customFormat="false" ht="28.35" hidden="false" customHeight="false" outlineLevel="0" collapsed="false">
      <c r="A29" s="59" t="s">
        <v>85</v>
      </c>
      <c r="B29" s="59" t="s">
        <v>55</v>
      </c>
      <c r="C29" s="59" t="s">
        <v>35</v>
      </c>
      <c r="D29" s="59" t="n">
        <v>1.85</v>
      </c>
      <c r="E29" s="59" t="n">
        <v>1.482</v>
      </c>
      <c r="F29" s="26" t="s">
        <v>86</v>
      </c>
      <c r="G29" s="26" t="s">
        <v>411</v>
      </c>
    </row>
    <row r="30" customFormat="false" ht="28.35" hidden="false" customHeight="false" outlineLevel="0" collapsed="false">
      <c r="A30" s="59" t="s">
        <v>85</v>
      </c>
      <c r="B30" s="59" t="s">
        <v>55</v>
      </c>
      <c r="C30" s="59" t="s">
        <v>36</v>
      </c>
      <c r="D30" s="59" t="n">
        <v>2.1</v>
      </c>
      <c r="E30" s="59" t="n">
        <v>2.256</v>
      </c>
      <c r="F30" s="26" t="s">
        <v>86</v>
      </c>
      <c r="G30" s="26" t="s">
        <v>411</v>
      </c>
    </row>
    <row r="31" customFormat="false" ht="28.35" hidden="false" customHeight="false" outlineLevel="0" collapsed="false">
      <c r="A31" s="59" t="s">
        <v>85</v>
      </c>
      <c r="B31" s="59" t="s">
        <v>55</v>
      </c>
      <c r="C31" s="59" t="s">
        <v>37</v>
      </c>
      <c r="D31" s="59" t="n">
        <v>2.6</v>
      </c>
      <c r="E31" s="59" t="n">
        <v>2.51</v>
      </c>
      <c r="F31" s="26" t="s">
        <v>86</v>
      </c>
      <c r="G31" s="26" t="s">
        <v>411</v>
      </c>
    </row>
    <row r="32" customFormat="false" ht="28.35" hidden="false" customHeight="false" outlineLevel="0" collapsed="false">
      <c r="A32" s="59" t="s">
        <v>85</v>
      </c>
      <c r="B32" s="59" t="s">
        <v>56</v>
      </c>
      <c r="C32" s="59" t="s">
        <v>35</v>
      </c>
      <c r="D32" s="59" t="n">
        <v>1.2</v>
      </c>
      <c r="E32" s="59" t="n">
        <v>0.97</v>
      </c>
      <c r="F32" s="26" t="s">
        <v>86</v>
      </c>
      <c r="G32" s="26" t="s">
        <v>411</v>
      </c>
    </row>
    <row r="33" customFormat="false" ht="28.35" hidden="false" customHeight="false" outlineLevel="0" collapsed="false">
      <c r="A33" s="59" t="s">
        <v>85</v>
      </c>
      <c r="B33" s="59" t="s">
        <v>56</v>
      </c>
      <c r="C33" s="59" t="s">
        <v>36</v>
      </c>
      <c r="D33" s="59" t="n">
        <v>1.4</v>
      </c>
      <c r="E33" s="59" t="n">
        <v>1.463</v>
      </c>
      <c r="F33" s="26" t="s">
        <v>86</v>
      </c>
      <c r="G33" s="26" t="s">
        <v>411</v>
      </c>
    </row>
    <row r="34" customFormat="false" ht="28.35" hidden="false" customHeight="false" outlineLevel="0" collapsed="false">
      <c r="A34" s="59" t="s">
        <v>85</v>
      </c>
      <c r="B34" s="59" t="s">
        <v>56</v>
      </c>
      <c r="C34" s="59" t="s">
        <v>37</v>
      </c>
      <c r="D34" s="59" t="n">
        <v>1.503</v>
      </c>
      <c r="E34" s="59" t="n">
        <v>1.494</v>
      </c>
      <c r="F34" s="26" t="s">
        <v>86</v>
      </c>
      <c r="G34" s="26" t="s">
        <v>411</v>
      </c>
    </row>
    <row r="35" customFormat="false" ht="28.35" hidden="false" customHeight="false" outlineLevel="0" collapsed="false">
      <c r="A35" s="59" t="s">
        <v>85</v>
      </c>
      <c r="B35" s="59" t="s">
        <v>75</v>
      </c>
      <c r="C35" s="59" t="s">
        <v>36</v>
      </c>
      <c r="D35" s="59" t="n">
        <v>0.28</v>
      </c>
      <c r="E35" s="59" t="n">
        <v>0.381</v>
      </c>
      <c r="F35" s="26" t="s">
        <v>86</v>
      </c>
      <c r="G35" s="26" t="s">
        <v>411</v>
      </c>
    </row>
    <row r="36" customFormat="false" ht="28.35" hidden="false" customHeight="false" outlineLevel="0" collapsed="false">
      <c r="A36" s="59" t="s">
        <v>91</v>
      </c>
      <c r="B36" s="59" t="s">
        <v>44</v>
      </c>
      <c r="C36" s="59" t="s">
        <v>35</v>
      </c>
      <c r="D36" s="59" t="n">
        <v>3.95</v>
      </c>
      <c r="E36" s="59" t="n">
        <v>4.257</v>
      </c>
      <c r="F36" s="26" t="s">
        <v>92</v>
      </c>
      <c r="G36" s="26" t="s">
        <v>411</v>
      </c>
    </row>
    <row r="37" customFormat="false" ht="28.35" hidden="false" customHeight="false" outlineLevel="0" collapsed="false">
      <c r="A37" s="59" t="s">
        <v>91</v>
      </c>
      <c r="B37" s="59" t="s">
        <v>44</v>
      </c>
      <c r="C37" s="59" t="s">
        <v>36</v>
      </c>
      <c r="D37" s="59" t="n">
        <v>4.3</v>
      </c>
      <c r="E37" s="59" t="n">
        <v>4.805</v>
      </c>
      <c r="F37" s="26" t="s">
        <v>92</v>
      </c>
      <c r="G37" s="26" t="s">
        <v>411</v>
      </c>
    </row>
    <row r="38" customFormat="false" ht="28.35" hidden="false" customHeight="false" outlineLevel="0" collapsed="false">
      <c r="A38" s="59" t="s">
        <v>91</v>
      </c>
      <c r="B38" s="59" t="s">
        <v>55</v>
      </c>
      <c r="C38" s="59" t="s">
        <v>35</v>
      </c>
      <c r="D38" s="59" t="n">
        <v>1.05</v>
      </c>
      <c r="E38" s="59" t="n">
        <v>1.336</v>
      </c>
      <c r="F38" s="26" t="s">
        <v>92</v>
      </c>
      <c r="G38" s="26" t="s">
        <v>411</v>
      </c>
    </row>
    <row r="39" customFormat="false" ht="28.35" hidden="false" customHeight="false" outlineLevel="0" collapsed="false">
      <c r="A39" s="59" t="s">
        <v>91</v>
      </c>
      <c r="B39" s="59" t="s">
        <v>55</v>
      </c>
      <c r="C39" s="59" t="s">
        <v>36</v>
      </c>
      <c r="D39" s="59" t="n">
        <v>1.15</v>
      </c>
      <c r="E39" s="59" t="n">
        <v>1.496</v>
      </c>
      <c r="F39" s="26" t="s">
        <v>92</v>
      </c>
      <c r="G39" s="26" t="s">
        <v>411</v>
      </c>
    </row>
    <row r="40" customFormat="false" ht="28.35" hidden="false" customHeight="false" outlineLevel="0" collapsed="false">
      <c r="A40" s="59" t="s">
        <v>91</v>
      </c>
      <c r="B40" s="59" t="s">
        <v>55</v>
      </c>
      <c r="C40" s="59" t="s">
        <v>37</v>
      </c>
      <c r="D40" s="59" t="n">
        <v>1.55</v>
      </c>
      <c r="E40" s="59" t="n">
        <v>1.668</v>
      </c>
      <c r="F40" s="26" t="s">
        <v>92</v>
      </c>
      <c r="G40" s="26" t="s">
        <v>411</v>
      </c>
    </row>
    <row r="41" customFormat="false" ht="28.35" hidden="false" customHeight="false" outlineLevel="0" collapsed="false">
      <c r="A41" s="59" t="s">
        <v>91</v>
      </c>
      <c r="B41" s="59" t="s">
        <v>56</v>
      </c>
      <c r="C41" s="59" t="s">
        <v>35</v>
      </c>
      <c r="D41" s="59" t="n">
        <v>0.75</v>
      </c>
      <c r="E41" s="59" t="n">
        <v>0.871</v>
      </c>
      <c r="F41" s="26" t="s">
        <v>92</v>
      </c>
      <c r="G41" s="26" t="s">
        <v>411</v>
      </c>
    </row>
    <row r="42" customFormat="false" ht="28.35" hidden="false" customHeight="false" outlineLevel="0" collapsed="false">
      <c r="A42" s="59" t="s">
        <v>91</v>
      </c>
      <c r="B42" s="59" t="s">
        <v>56</v>
      </c>
      <c r="C42" s="59" t="s">
        <v>36</v>
      </c>
      <c r="D42" s="59" t="n">
        <v>0.82</v>
      </c>
      <c r="E42" s="59" t="n">
        <v>0.993</v>
      </c>
      <c r="F42" s="26" t="s">
        <v>92</v>
      </c>
      <c r="G42" s="26" t="s">
        <v>411</v>
      </c>
    </row>
    <row r="43" customFormat="false" ht="28.35" hidden="false" customHeight="false" outlineLevel="0" collapsed="false">
      <c r="A43" s="59" t="s">
        <v>91</v>
      </c>
      <c r="B43" s="59" t="s">
        <v>75</v>
      </c>
      <c r="C43" s="59" t="s">
        <v>35</v>
      </c>
      <c r="D43" s="59" t="n">
        <v>0.12</v>
      </c>
      <c r="E43" s="59" t="n">
        <v>0.19</v>
      </c>
      <c r="F43" s="26" t="s">
        <v>92</v>
      </c>
      <c r="G43" s="26" t="s">
        <v>411</v>
      </c>
    </row>
    <row r="44" customFormat="false" ht="28.35" hidden="false" customHeight="false" outlineLevel="0" collapsed="false">
      <c r="A44" s="59" t="s">
        <v>91</v>
      </c>
      <c r="B44" s="59" t="s">
        <v>75</v>
      </c>
      <c r="C44" s="59" t="s">
        <v>36</v>
      </c>
      <c r="D44" s="59" t="n">
        <v>0.13</v>
      </c>
      <c r="E44" s="59" t="n">
        <v>0.193</v>
      </c>
      <c r="F44" s="26" t="s">
        <v>92</v>
      </c>
      <c r="G44" s="26" t="s">
        <v>411</v>
      </c>
    </row>
    <row r="45" customFormat="false" ht="28.35" hidden="false" customHeight="false" outlineLevel="0" collapsed="false">
      <c r="A45" s="59" t="s">
        <v>413</v>
      </c>
      <c r="B45" s="59" t="s">
        <v>414</v>
      </c>
      <c r="C45" s="59" t="s">
        <v>415</v>
      </c>
      <c r="D45" s="59" t="s">
        <v>416</v>
      </c>
      <c r="E45" s="59" t="s">
        <v>416</v>
      </c>
      <c r="F45" s="26" t="s">
        <v>417</v>
      </c>
      <c r="G45" s="26" t="s">
        <v>418</v>
      </c>
    </row>
    <row r="46" customFormat="false" ht="28.35" hidden="false" customHeight="false" outlineLevel="0" collapsed="false">
      <c r="A46" s="59" t="s">
        <v>413</v>
      </c>
      <c r="B46" s="59" t="s">
        <v>38</v>
      </c>
      <c r="C46" s="59" t="s">
        <v>419</v>
      </c>
      <c r="D46" s="59" t="s">
        <v>416</v>
      </c>
      <c r="E46" s="59" t="s">
        <v>416</v>
      </c>
      <c r="F46" s="26" t="s">
        <v>420</v>
      </c>
      <c r="G46" s="26" t="s">
        <v>421</v>
      </c>
    </row>
    <row r="47" customFormat="false" ht="28.35" hidden="false" customHeight="false" outlineLevel="0" collapsed="false">
      <c r="A47" s="59" t="s">
        <v>413</v>
      </c>
      <c r="B47" s="59" t="s">
        <v>422</v>
      </c>
      <c r="C47" s="59" t="s">
        <v>423</v>
      </c>
      <c r="D47" s="59" t="s">
        <v>416</v>
      </c>
      <c r="E47" s="59" t="s">
        <v>416</v>
      </c>
      <c r="F47" s="26" t="s">
        <v>424</v>
      </c>
      <c r="G47" s="26" t="s">
        <v>425</v>
      </c>
    </row>
    <row r="48" customFormat="false" ht="28.35" hidden="false" customHeight="false" outlineLevel="0" collapsed="false">
      <c r="A48" s="59" t="s">
        <v>413</v>
      </c>
      <c r="B48" s="59" t="s">
        <v>426</v>
      </c>
      <c r="C48" s="59" t="s">
        <v>423</v>
      </c>
      <c r="D48" s="59" t="s">
        <v>416</v>
      </c>
      <c r="E48" s="59" t="s">
        <v>416</v>
      </c>
      <c r="F48" s="26" t="s">
        <v>427</v>
      </c>
      <c r="G48" s="26" t="s">
        <v>428</v>
      </c>
    </row>
    <row r="49" customFormat="false" ht="28.35" hidden="false" customHeight="false" outlineLevel="0" collapsed="false">
      <c r="A49" s="59" t="s">
        <v>85</v>
      </c>
      <c r="B49" s="59" t="s">
        <v>429</v>
      </c>
      <c r="C49" s="59" t="s">
        <v>430</v>
      </c>
      <c r="D49" s="59" t="s">
        <v>416</v>
      </c>
      <c r="E49" s="59" t="s">
        <v>431</v>
      </c>
      <c r="F49" s="26" t="s">
        <v>86</v>
      </c>
      <c r="G49" s="26" t="s">
        <v>432</v>
      </c>
    </row>
    <row r="50" customFormat="false" ht="28.35" hidden="false" customHeight="false" outlineLevel="0" collapsed="false">
      <c r="A50" s="59" t="s">
        <v>91</v>
      </c>
      <c r="B50" s="59" t="s">
        <v>429</v>
      </c>
      <c r="C50" s="59" t="s">
        <v>430</v>
      </c>
      <c r="D50" s="59" t="s">
        <v>416</v>
      </c>
      <c r="E50" s="59" t="s">
        <v>433</v>
      </c>
      <c r="F50" s="26" t="s">
        <v>92</v>
      </c>
      <c r="G50" s="26" t="s">
        <v>432</v>
      </c>
    </row>
    <row r="51" customFormat="false" ht="28.35" hidden="false" customHeight="false" outlineLevel="0" collapsed="false">
      <c r="A51" s="59" t="s">
        <v>413</v>
      </c>
      <c r="B51" s="59" t="s">
        <v>434</v>
      </c>
      <c r="C51" s="59" t="s">
        <v>435</v>
      </c>
      <c r="D51" s="59" t="s">
        <v>436</v>
      </c>
      <c r="E51" s="59" t="s">
        <v>436</v>
      </c>
      <c r="F51" s="26" t="s">
        <v>416</v>
      </c>
      <c r="G51" s="26" t="s">
        <v>437</v>
      </c>
    </row>
    <row r="52" customFormat="false" ht="28.35" hidden="false" customHeight="false" outlineLevel="0" collapsed="false">
      <c r="A52" s="59" t="s">
        <v>43</v>
      </c>
      <c r="B52" s="59" t="s">
        <v>56</v>
      </c>
      <c r="C52" s="59" t="s">
        <v>35</v>
      </c>
      <c r="D52" s="59" t="n">
        <v>1.064</v>
      </c>
      <c r="E52" s="59" t="n">
        <v>1.055</v>
      </c>
      <c r="F52" s="26" t="s">
        <v>45</v>
      </c>
      <c r="G52" s="26" t="s">
        <v>438</v>
      </c>
    </row>
    <row r="53" customFormat="false" ht="28.35" hidden="false" customHeight="false" outlineLevel="0" collapsed="false">
      <c r="A53" s="59" t="s">
        <v>43</v>
      </c>
      <c r="B53" s="59" t="s">
        <v>75</v>
      </c>
      <c r="C53" s="59" t="s">
        <v>35</v>
      </c>
      <c r="D53" s="59" t="n">
        <v>0.3</v>
      </c>
      <c r="E53" s="59" t="n">
        <v>0.235</v>
      </c>
      <c r="F53" s="26" t="s">
        <v>45</v>
      </c>
      <c r="G53" s="26" t="s">
        <v>438</v>
      </c>
    </row>
    <row r="54" customFormat="false" ht="28.35" hidden="false" customHeight="false" outlineLevel="0" collapsed="false">
      <c r="A54" s="59" t="s">
        <v>43</v>
      </c>
      <c r="B54" s="59" t="s">
        <v>62</v>
      </c>
      <c r="C54" s="59" t="s">
        <v>35</v>
      </c>
      <c r="D54" s="59" t="n">
        <v>1.49</v>
      </c>
      <c r="E54" s="59" t="n">
        <v>1.345</v>
      </c>
      <c r="F54" s="26" t="s">
        <v>45</v>
      </c>
      <c r="G54" s="26" t="s">
        <v>439</v>
      </c>
    </row>
    <row r="55" customFormat="false" ht="28.35" hidden="false" customHeight="false" outlineLevel="0" collapsed="false">
      <c r="A55" s="59" t="s">
        <v>43</v>
      </c>
      <c r="B55" s="59" t="s">
        <v>64</v>
      </c>
      <c r="C55" s="59" t="s">
        <v>35</v>
      </c>
      <c r="D55" s="59" t="n">
        <v>0.3</v>
      </c>
      <c r="E55" s="59" t="n">
        <v>0.242</v>
      </c>
      <c r="F55" s="26" t="s">
        <v>45</v>
      </c>
      <c r="G55" s="26" t="s">
        <v>439</v>
      </c>
    </row>
    <row r="56" customFormat="false" ht="28.35" hidden="false" customHeight="false" outlineLevel="0" collapsed="false">
      <c r="A56" s="59" t="s">
        <v>43</v>
      </c>
      <c r="B56" s="59" t="s">
        <v>67</v>
      </c>
      <c r="C56" s="59" t="s">
        <v>37</v>
      </c>
      <c r="D56" s="59" t="n">
        <v>16.87</v>
      </c>
      <c r="E56" s="59" t="n">
        <v>16.874</v>
      </c>
      <c r="F56" s="26" t="s">
        <v>45</v>
      </c>
      <c r="G56" s="26" t="s">
        <v>440</v>
      </c>
    </row>
    <row r="57" customFormat="false" ht="28.35" hidden="false" customHeight="false" outlineLevel="0" collapsed="false">
      <c r="A57" s="59" t="s">
        <v>43</v>
      </c>
      <c r="B57" s="59" t="s">
        <v>67</v>
      </c>
      <c r="C57" s="59" t="s">
        <v>36</v>
      </c>
      <c r="D57" s="59" t="n">
        <v>16.01</v>
      </c>
      <c r="E57" s="59" t="n">
        <v>15.105</v>
      </c>
      <c r="F57" s="26" t="s">
        <v>45</v>
      </c>
      <c r="G57" s="26" t="s">
        <v>440</v>
      </c>
    </row>
    <row r="58" customFormat="false" ht="28.35" hidden="false" customHeight="false" outlineLevel="0" collapsed="false">
      <c r="A58" s="59" t="s">
        <v>43</v>
      </c>
      <c r="B58" s="59" t="s">
        <v>70</v>
      </c>
      <c r="C58" s="59" t="s">
        <v>37</v>
      </c>
      <c r="D58" s="59" t="n">
        <v>14</v>
      </c>
      <c r="E58" s="59" t="n">
        <v>14.004</v>
      </c>
      <c r="F58" s="26" t="s">
        <v>45</v>
      </c>
      <c r="G58" s="26" t="s">
        <v>440</v>
      </c>
    </row>
    <row r="59" customFormat="false" ht="28.35" hidden="false" customHeight="false" outlineLevel="0" collapsed="false">
      <c r="A59" s="59" t="s">
        <v>43</v>
      </c>
      <c r="B59" s="59" t="s">
        <v>70</v>
      </c>
      <c r="C59" s="59" t="s">
        <v>36</v>
      </c>
      <c r="D59" s="59" t="n">
        <v>13.35</v>
      </c>
      <c r="E59" s="59" t="n">
        <v>12.598</v>
      </c>
      <c r="F59" s="26" t="s">
        <v>45</v>
      </c>
      <c r="G59" s="26" t="s">
        <v>440</v>
      </c>
    </row>
    <row r="60" customFormat="false" ht="28.35" hidden="false" customHeight="false" outlineLevel="0" collapsed="false">
      <c r="A60" s="59" t="s">
        <v>43</v>
      </c>
      <c r="B60" s="59" t="s">
        <v>73</v>
      </c>
      <c r="C60" s="59" t="s">
        <v>37</v>
      </c>
      <c r="D60" s="59" t="n">
        <v>6.9</v>
      </c>
      <c r="E60" s="59" t="n">
        <v>6.903</v>
      </c>
      <c r="F60" s="26" t="s">
        <v>45</v>
      </c>
      <c r="G60" s="26" t="s">
        <v>440</v>
      </c>
    </row>
    <row r="61" customFormat="false" ht="28.35" hidden="false" customHeight="false" outlineLevel="0" collapsed="false">
      <c r="A61" s="59" t="s">
        <v>43</v>
      </c>
      <c r="B61" s="59" t="s">
        <v>73</v>
      </c>
      <c r="C61" s="59" t="s">
        <v>36</v>
      </c>
      <c r="D61" s="59" t="n">
        <v>5.94</v>
      </c>
      <c r="E61" s="59" t="n">
        <v>5.929</v>
      </c>
      <c r="F61" s="26" t="s">
        <v>45</v>
      </c>
      <c r="G61" s="26" t="s">
        <v>440</v>
      </c>
    </row>
  </sheetData>
  <autoFilter ref="A1:G51"/>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2026-10-27T11:22:54Z</dcterms:created>
  <dc:creator>openpyxl</dc:creator>
  <dc:description/>
  <dc:language>en-US</dc:language>
  <cp:lastModifiedBy/>
  <dcterms:modified xsi:type="dcterms:W3CDTF">2026-10-28T11:31:02Z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