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urzhan\Downloads\"/>
    </mc:Choice>
  </mc:AlternateContent>
  <xr:revisionPtr revIDLastSave="0" documentId="8_{82505710-05D0-4A91-9FAB-CC5E7B9114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_Metrics" sheetId="1" r:id="rId1"/>
    <sheet name="Stress_Test_Matrix" sheetId="2" r:id="rId2"/>
    <sheet name="Financial_Ratios" sheetId="3" r:id="rId3"/>
    <sheet name="Peer_Comparison" sheetId="4" r:id="rId4"/>
    <sheet name="Methodolo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H6" i="4"/>
  <c r="D6" i="4"/>
  <c r="C6" i="4"/>
  <c r="B6" i="4"/>
  <c r="H5" i="4"/>
  <c r="K5" i="4" s="1"/>
  <c r="D5" i="4"/>
  <c r="C5" i="4"/>
  <c r="B5" i="4"/>
  <c r="I4" i="4"/>
  <c r="H4" i="4"/>
  <c r="K4" i="4" s="1"/>
  <c r="F4" i="4"/>
  <c r="E4" i="4"/>
  <c r="D4" i="4"/>
  <c r="C4" i="4"/>
  <c r="B4" i="4"/>
  <c r="I3" i="4"/>
  <c r="H3" i="4"/>
  <c r="K3" i="4" s="1"/>
  <c r="F3" i="4"/>
  <c r="E3" i="4"/>
  <c r="D3" i="4"/>
  <c r="C3" i="4"/>
  <c r="B3" i="4"/>
  <c r="K2" i="4"/>
  <c r="H2" i="4"/>
  <c r="F2" i="4"/>
  <c r="D2" i="4"/>
  <c r="C2" i="4"/>
  <c r="B2" i="4"/>
  <c r="H31" i="3"/>
  <c r="F31" i="3"/>
  <c r="E31" i="3"/>
  <c r="H30" i="3"/>
  <c r="F30" i="3"/>
  <c r="E30" i="3"/>
  <c r="H29" i="3"/>
  <c r="F29" i="3"/>
  <c r="E29" i="3"/>
  <c r="H28" i="3"/>
  <c r="F28" i="3"/>
  <c r="E28" i="3"/>
  <c r="H27" i="3"/>
  <c r="F27" i="3"/>
  <c r="E27" i="3"/>
  <c r="H26" i="3"/>
  <c r="F26" i="3"/>
  <c r="E26" i="3"/>
  <c r="H25" i="3"/>
  <c r="F25" i="3"/>
  <c r="E25" i="3"/>
  <c r="H24" i="3"/>
  <c r="F24" i="3"/>
  <c r="E24" i="3"/>
  <c r="H23" i="3"/>
  <c r="F23" i="3"/>
  <c r="E23" i="3"/>
  <c r="H22" i="3"/>
  <c r="F22" i="3"/>
  <c r="E22" i="3"/>
  <c r="H21" i="3"/>
  <c r="F21" i="3"/>
  <c r="E21" i="3"/>
  <c r="H20" i="3"/>
  <c r="F20" i="3"/>
  <c r="E20" i="3"/>
  <c r="H19" i="3"/>
  <c r="F19" i="3"/>
  <c r="E19" i="3"/>
  <c r="H18" i="3"/>
  <c r="F18" i="3"/>
  <c r="E18" i="3"/>
  <c r="H17" i="3"/>
  <c r="F17" i="3"/>
  <c r="E17" i="3"/>
  <c r="H16" i="3"/>
  <c r="F16" i="3"/>
  <c r="E16" i="3"/>
  <c r="H15" i="3"/>
  <c r="F15" i="3"/>
  <c r="E15" i="3"/>
  <c r="H14" i="3"/>
  <c r="F14" i="3"/>
  <c r="E14" i="3"/>
  <c r="H13" i="3"/>
  <c r="G13" i="3"/>
  <c r="F13" i="3"/>
  <c r="E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H4" i="3"/>
  <c r="F4" i="3"/>
  <c r="E4" i="3"/>
  <c r="H3" i="3"/>
  <c r="F3" i="3"/>
  <c r="E3" i="3"/>
  <c r="H2" i="3"/>
  <c r="F2" i="3"/>
  <c r="E2" i="3"/>
  <c r="E21" i="2"/>
  <c r="F21" i="2" s="1"/>
  <c r="D21" i="2"/>
  <c r="E20" i="2"/>
  <c r="D20" i="2"/>
  <c r="E19" i="2"/>
  <c r="D19" i="2"/>
  <c r="E18" i="2"/>
  <c r="F18" i="2" s="1"/>
  <c r="D18" i="2"/>
  <c r="F17" i="2"/>
  <c r="E17" i="2"/>
  <c r="D17" i="2"/>
  <c r="E16" i="2"/>
  <c r="D16" i="2"/>
  <c r="E15" i="2"/>
  <c r="D15" i="2"/>
  <c r="E14" i="2"/>
  <c r="F14" i="2" s="1"/>
  <c r="D14" i="2"/>
  <c r="E13" i="2"/>
  <c r="F13" i="2" s="1"/>
  <c r="D13" i="2"/>
  <c r="E12" i="2"/>
  <c r="D12" i="2"/>
  <c r="E11" i="2"/>
  <c r="D11" i="2"/>
  <c r="E10" i="2"/>
  <c r="F10" i="2" s="1"/>
  <c r="D10" i="2"/>
  <c r="E9" i="2"/>
  <c r="F9" i="2" s="1"/>
  <c r="D9" i="2"/>
  <c r="E8" i="2"/>
  <c r="D8" i="2"/>
  <c r="E7" i="2"/>
  <c r="D7" i="2"/>
  <c r="E6" i="2"/>
  <c r="F6" i="2" s="1"/>
  <c r="D6" i="2"/>
  <c r="E5" i="2"/>
  <c r="F5" i="2" s="1"/>
  <c r="D5" i="2"/>
  <c r="E4" i="2"/>
  <c r="D4" i="2"/>
  <c r="E3" i="2"/>
  <c r="D3" i="2"/>
  <c r="E2" i="2"/>
  <c r="F2" i="2" s="1"/>
  <c r="D2" i="2"/>
  <c r="H71" i="1"/>
  <c r="D31" i="3" s="1"/>
  <c r="G71" i="1"/>
  <c r="D30" i="3" s="1"/>
  <c r="F71" i="1"/>
  <c r="D29" i="3" s="1"/>
  <c r="E71" i="1"/>
  <c r="D28" i="3" s="1"/>
  <c r="D71" i="1"/>
  <c r="D27" i="3" s="1"/>
  <c r="C71" i="1"/>
  <c r="D26" i="3" s="1"/>
  <c r="H68" i="1"/>
  <c r="C31" i="3" s="1"/>
  <c r="G68" i="1"/>
  <c r="F68" i="1"/>
  <c r="C29" i="3" s="1"/>
  <c r="E68" i="1"/>
  <c r="C28" i="3" s="1"/>
  <c r="D68" i="1"/>
  <c r="C27" i="3" s="1"/>
  <c r="C68" i="1"/>
  <c r="C26" i="3" s="1"/>
  <c r="H65" i="1"/>
  <c r="G31" i="3" s="1"/>
  <c r="G65" i="1"/>
  <c r="F65" i="1"/>
  <c r="G29" i="3" s="1"/>
  <c r="E65" i="1"/>
  <c r="G28" i="3" s="1"/>
  <c r="D65" i="1"/>
  <c r="G27" i="3" s="1"/>
  <c r="C65" i="1"/>
  <c r="G26" i="3" s="1"/>
  <c r="H62" i="1"/>
  <c r="G62" i="1"/>
  <c r="E6" i="4" s="1"/>
  <c r="F62" i="1"/>
  <c r="E62" i="1"/>
  <c r="D62" i="1"/>
  <c r="C62" i="1"/>
  <c r="H59" i="1"/>
  <c r="G59" i="1"/>
  <c r="F59" i="1"/>
  <c r="E59" i="1"/>
  <c r="D59" i="1"/>
  <c r="H57" i="1"/>
  <c r="D25" i="3" s="1"/>
  <c r="G57" i="1"/>
  <c r="D24" i="3" s="1"/>
  <c r="F57" i="1"/>
  <c r="D23" i="3" s="1"/>
  <c r="E57" i="1"/>
  <c r="D22" i="3" s="1"/>
  <c r="D57" i="1"/>
  <c r="D21" i="3" s="1"/>
  <c r="C57" i="1"/>
  <c r="D20" i="3" s="1"/>
  <c r="H54" i="1"/>
  <c r="C25" i="3" s="1"/>
  <c r="G54" i="1"/>
  <c r="F54" i="1"/>
  <c r="C23" i="3" s="1"/>
  <c r="E54" i="1"/>
  <c r="C22" i="3" s="1"/>
  <c r="D54" i="1"/>
  <c r="C21" i="3" s="1"/>
  <c r="C54" i="1"/>
  <c r="C20" i="3" s="1"/>
  <c r="H51" i="1"/>
  <c r="G25" i="3" s="1"/>
  <c r="G51" i="1"/>
  <c r="F51" i="1"/>
  <c r="G23" i="3" s="1"/>
  <c r="E51" i="1"/>
  <c r="G22" i="3" s="1"/>
  <c r="D51" i="1"/>
  <c r="G21" i="3" s="1"/>
  <c r="C51" i="1"/>
  <c r="G20" i="3" s="1"/>
  <c r="H48" i="1"/>
  <c r="G48" i="1"/>
  <c r="E5" i="4" s="1"/>
  <c r="F48" i="1"/>
  <c r="E48" i="1"/>
  <c r="D48" i="1"/>
  <c r="C48" i="1"/>
  <c r="H45" i="1"/>
  <c r="G45" i="1"/>
  <c r="F45" i="1"/>
  <c r="E45" i="1"/>
  <c r="D45" i="1"/>
  <c r="H43" i="1"/>
  <c r="D19" i="3" s="1"/>
  <c r="G43" i="1"/>
  <c r="D18" i="3" s="1"/>
  <c r="F43" i="1"/>
  <c r="D17" i="3" s="1"/>
  <c r="E43" i="1"/>
  <c r="D16" i="3" s="1"/>
  <c r="D43" i="1"/>
  <c r="D15" i="3" s="1"/>
  <c r="C43" i="1"/>
  <c r="D14" i="3" s="1"/>
  <c r="H40" i="1"/>
  <c r="C19" i="3" s="1"/>
  <c r="G40" i="1"/>
  <c r="C18" i="3" s="1"/>
  <c r="F40" i="1"/>
  <c r="C17" i="3" s="1"/>
  <c r="E40" i="1"/>
  <c r="C16" i="3" s="1"/>
  <c r="D40" i="1"/>
  <c r="C15" i="3" s="1"/>
  <c r="C40" i="1"/>
  <c r="C14" i="3" s="1"/>
  <c r="H37" i="1"/>
  <c r="G19" i="3" s="1"/>
  <c r="G37" i="1"/>
  <c r="G18" i="3" s="1"/>
  <c r="F37" i="1"/>
  <c r="G17" i="3" s="1"/>
  <c r="E37" i="1"/>
  <c r="G16" i="3" s="1"/>
  <c r="D37" i="1"/>
  <c r="G15" i="3" s="1"/>
  <c r="C37" i="1"/>
  <c r="G14" i="3" s="1"/>
  <c r="H34" i="1"/>
  <c r="G34" i="1"/>
  <c r="F34" i="1"/>
  <c r="E34" i="1"/>
  <c r="D34" i="1"/>
  <c r="C34" i="1"/>
  <c r="H31" i="1"/>
  <c r="G31" i="1"/>
  <c r="F31" i="1"/>
  <c r="E31" i="1"/>
  <c r="D31" i="1"/>
  <c r="H29" i="1"/>
  <c r="D13" i="3" s="1"/>
  <c r="G29" i="1"/>
  <c r="F29" i="1"/>
  <c r="E29" i="1"/>
  <c r="D29" i="1"/>
  <c r="C29" i="1"/>
  <c r="H26" i="1"/>
  <c r="G26" i="1"/>
  <c r="F26" i="1"/>
  <c r="E26" i="1"/>
  <c r="D26" i="1"/>
  <c r="C26" i="1"/>
  <c r="H23" i="1"/>
  <c r="G23" i="1"/>
  <c r="F23" i="1"/>
  <c r="E23" i="1"/>
  <c r="D23" i="1"/>
  <c r="C23" i="1"/>
  <c r="H20" i="1"/>
  <c r="G20" i="1"/>
  <c r="F20" i="1"/>
  <c r="E20" i="1"/>
  <c r="D20" i="1"/>
  <c r="C20" i="1"/>
  <c r="H17" i="1"/>
  <c r="G17" i="1"/>
  <c r="F17" i="1"/>
  <c r="E17" i="1"/>
  <c r="D17" i="1"/>
  <c r="H15" i="1"/>
  <c r="G15" i="1"/>
  <c r="F15" i="1"/>
  <c r="D5" i="3" s="1"/>
  <c r="E15" i="1"/>
  <c r="D4" i="3" s="1"/>
  <c r="D15" i="1"/>
  <c r="D3" i="3" s="1"/>
  <c r="C15" i="1"/>
  <c r="D2" i="3" s="1"/>
  <c r="H12" i="1"/>
  <c r="G12" i="1"/>
  <c r="F12" i="1"/>
  <c r="C5" i="3" s="1"/>
  <c r="E12" i="1"/>
  <c r="C4" i="3" s="1"/>
  <c r="D12" i="1"/>
  <c r="C3" i="3" s="1"/>
  <c r="C12" i="1"/>
  <c r="C2" i="3" s="1"/>
  <c r="H9" i="1"/>
  <c r="G9" i="1"/>
  <c r="I2" i="4" s="1"/>
  <c r="F9" i="1"/>
  <c r="E9" i="1"/>
  <c r="G4" i="3" s="1"/>
  <c r="D9" i="1"/>
  <c r="G3" i="3" s="1"/>
  <c r="C9" i="1"/>
  <c r="G2" i="3" s="1"/>
  <c r="H6" i="1"/>
  <c r="G6" i="1"/>
  <c r="E2" i="4" s="1"/>
  <c r="F6" i="1"/>
  <c r="E6" i="1"/>
  <c r="D6" i="1"/>
  <c r="C6" i="1"/>
  <c r="H3" i="1"/>
  <c r="G3" i="1"/>
  <c r="F3" i="1"/>
  <c r="E3" i="1"/>
  <c r="D3" i="1"/>
  <c r="G6" i="4" l="1"/>
  <c r="G5" i="4"/>
  <c r="G4" i="4"/>
  <c r="J4" i="4"/>
  <c r="J3" i="4"/>
  <c r="G3" i="4"/>
  <c r="G2" i="4"/>
  <c r="J2" i="4"/>
  <c r="M6" i="4"/>
  <c r="F20" i="2"/>
  <c r="N6" i="4" s="1"/>
  <c r="L6" i="4"/>
  <c r="F19" i="2"/>
  <c r="M5" i="4"/>
  <c r="F16" i="2"/>
  <c r="N5" i="4" s="1"/>
  <c r="L5" i="4"/>
  <c r="F15" i="2"/>
  <c r="M4" i="4"/>
  <c r="F12" i="2"/>
  <c r="N4" i="4" s="1"/>
  <c r="L4" i="4"/>
  <c r="F11" i="2"/>
  <c r="M3" i="4"/>
  <c r="F8" i="2"/>
  <c r="N3" i="4" s="1"/>
  <c r="L3" i="4"/>
  <c r="F7" i="2"/>
  <c r="F4" i="2"/>
  <c r="N2" i="4" s="1"/>
  <c r="M2" i="4"/>
  <c r="F3" i="2"/>
  <c r="L2" i="4"/>
  <c r="F6" i="4"/>
  <c r="C30" i="3"/>
  <c r="I6" i="4"/>
  <c r="J6" i="4" s="1"/>
  <c r="G30" i="3"/>
  <c r="F5" i="4"/>
  <c r="C24" i="3"/>
  <c r="I5" i="4"/>
  <c r="J5" i="4" s="1"/>
  <c r="G24" i="3"/>
</calcChain>
</file>

<file path=xl/sharedStrings.xml><?xml version="1.0" encoding="utf-8"?>
<sst xmlns="http://schemas.openxmlformats.org/spreadsheetml/2006/main" count="671" uniqueCount="125">
  <si>
    <t>Company</t>
  </si>
  <si>
    <t>Metric (USD bn unless ratio / %)</t>
  </si>
  <si>
    <t>2021</t>
  </si>
  <si>
    <t>2022</t>
  </si>
  <si>
    <t>2023</t>
  </si>
  <si>
    <t>2024</t>
  </si>
  <si>
    <t>2025</t>
  </si>
  <si>
    <t>2026_TTM</t>
  </si>
  <si>
    <t>Source URL</t>
  </si>
  <si>
    <t>Data Status</t>
  </si>
  <si>
    <t>Review Notes</t>
  </si>
  <si>
    <t>WTW</t>
  </si>
  <si>
    <t>Total Revenue</t>
  </si>
  <si>
    <t>https://www.sec.gov/Archives/edgar/data/1140536/000119312526069307/wtw-20251231.htm</t>
  </si>
  <si>
    <t>Confirmed</t>
  </si>
  <si>
    <t>Verified via official SEC Form 10-K filings.</t>
  </si>
  <si>
    <t>Revenue Growth YoY</t>
  </si>
  <si>
    <t>Calculated</t>
  </si>
  <si>
    <t>Year-over-year revenue growth rate.</t>
  </si>
  <si>
    <t>Operating Income (EBIT)</t>
  </si>
  <si>
    <t>Operating income adjusted for comparability.</t>
  </si>
  <si>
    <t>Net Income</t>
  </si>
  <si>
    <t>Net income attributable to the company.</t>
  </si>
  <si>
    <t>Net Profit Margin</t>
  </si>
  <si>
    <t>Net income divided by total revenue.</t>
  </si>
  <si>
    <t>Operating Cash Flow</t>
  </si>
  <si>
    <t>Cash generated from core operating activities.</t>
  </si>
  <si>
    <t>Capital Expenditures</t>
  </si>
  <si>
    <t>Additions to property, equipment, and software.</t>
  </si>
  <si>
    <t>Free Cash Flow</t>
  </si>
  <si>
    <t>Operating Cash Flow minus Capital Expenditures.</t>
  </si>
  <si>
    <t>Current Assets</t>
  </si>
  <si>
    <t>Total current assets from balance sheet.</t>
  </si>
  <si>
    <t>Current Liabilities</t>
  </si>
  <si>
    <t>Total current liabilities from balance sheet.</t>
  </si>
  <si>
    <t>Current Ratio</t>
  </si>
  <si>
    <t>Current Assets divided by Current Liabilities.</t>
  </si>
  <si>
    <t>Total Debt</t>
  </si>
  <si>
    <t>Short-term and long-term debt obligations.</t>
  </si>
  <si>
    <t>Interest Expense</t>
  </si>
  <si>
    <t>Total gross interest expense.</t>
  </si>
  <si>
    <t>Interest Coverage Ratio</t>
  </si>
  <si>
    <t>EBIT divided by Interest Expense.</t>
  </si>
  <si>
    <t>Aon</t>
  </si>
  <si>
    <t>https://www.sec.gov/Archives/edgar/data/315293/000162828026008116/aon-20251231.htm</t>
  </si>
  <si>
    <t>Operating income from statement of operations.</t>
  </si>
  <si>
    <t>Net income attributable to shareholders.</t>
  </si>
  <si>
    <t>MMC</t>
  </si>
  <si>
    <t>https://www.sec.gov/Archives/edgar/data/62709/000006270926000022/mrsh-20251231.htm</t>
  </si>
  <si>
    <t>Net income attributable to company.</t>
  </si>
  <si>
    <t>AJG</t>
  </si>
  <si>
    <t>https://www.sec.gov/Archives/edgar/data/354190/000162828026006662/ajg-20251231.htm</t>
  </si>
  <si>
    <t>Operating income proxy aligned to standard definition.</t>
  </si>
  <si>
    <t>Net earnings attributable to company.</t>
  </si>
  <si>
    <t>BRO</t>
  </si>
  <si>
    <t>https://www.sec.gov/Archives/edgar/data/79282/000119312526046984/bro-20251231.htm</t>
  </si>
  <si>
    <t>Scenario</t>
  </si>
  <si>
    <t>Revenue Shock</t>
  </si>
  <si>
    <t>Stressed Revenue (USD bn)</t>
  </si>
  <si>
    <t>Stressed EBIT / Proxy (USD bn)</t>
  </si>
  <si>
    <t>Stressed Interest Coverage (x)</t>
  </si>
  <si>
    <t>Illustrative Coverage Assessment</t>
  </si>
  <si>
    <t>DOL Assumption</t>
  </si>
  <si>
    <t>Formula / Scenario Meaning</t>
  </si>
  <si>
    <t>Baseline Period / Caveat</t>
  </si>
  <si>
    <t>Method Note</t>
  </si>
  <si>
    <t>Base Case</t>
  </si>
  <si>
    <t>Resilient</t>
  </si>
  <si>
    <t>No revenue shock; baseline FY2025 values.</t>
  </si>
  <si>
    <t>FY2025 baseline.</t>
  </si>
  <si>
    <t>Formula: EBIT * (1 + DOL * Shock)</t>
  </si>
  <si>
    <t>Mild Stress</t>
  </si>
  <si>
    <t>Small contraction; sensitivity test.</t>
  </si>
  <si>
    <t>Severe Stress</t>
  </si>
  <si>
    <t>Material revenue contraction.</t>
  </si>
  <si>
    <t>Critical Shock</t>
  </si>
  <si>
    <t>Increased Pressure</t>
  </si>
  <si>
    <t>Large shock simulation.</t>
  </si>
  <si>
    <t>High Stress</t>
  </si>
  <si>
    <t>Period</t>
  </si>
  <si>
    <t>Debt-to-Equity (Proxy)</t>
  </si>
  <si>
    <t>Debt-to-EBITDA (Proxy)</t>
  </si>
  <si>
    <t>Free Cash Flow Margin</t>
  </si>
  <si>
    <t>Operating Cash Flow / Total Debt</t>
  </si>
  <si>
    <t>Formula / Interpretation</t>
  </si>
  <si>
    <t>Limitations / Status</t>
  </si>
  <si>
    <t>Standard financial health indicators.</t>
  </si>
  <si>
    <t>Fully validated across all periods.</t>
  </si>
  <si>
    <t>FY2025 Revenue (USD bn)</t>
  </si>
  <si>
    <t>FY2025 EBIT (USD bn)</t>
  </si>
  <si>
    <t>FY2025 Net Income (USD bn)</t>
  </si>
  <si>
    <t>Debt / Revenue</t>
  </si>
  <si>
    <t>Operating Cash Flow (USD bn)</t>
  </si>
  <si>
    <t>Free Cash Flow (USD bn)</t>
  </si>
  <si>
    <t>FCF Margin</t>
  </si>
  <si>
    <t>Operating Cash Flow / Debt</t>
  </si>
  <si>
    <t>Mild Stress EBIT (USD bn)</t>
  </si>
  <si>
    <t>Severe Stress EBIT (USD bn)</t>
  </si>
  <si>
    <t>Severe Stress Coverage (x)</t>
  </si>
  <si>
    <t>Strength / Risk Note</t>
  </si>
  <si>
    <t>Source Note</t>
  </si>
  <si>
    <t>Profitability recovered strongly; solid interest coverage cushion.</t>
  </si>
  <si>
    <t>SEC Form 10-K</t>
  </si>
  <si>
    <t>High operating margins but elevated debt load to manage.</t>
  </si>
  <si>
    <t>Market leader by scale; strongest free cash flow generation.</t>
  </si>
  <si>
    <t>Agressive acquisition-driven growth; lower profit margins.</t>
  </si>
  <si>
    <t>Highest current ratio and top-tier FCF conversion metrics.</t>
  </si>
  <si>
    <t>Topic</t>
  </si>
  <si>
    <t>Method / Explanation</t>
  </si>
  <si>
    <t>Status / Limitation</t>
  </si>
  <si>
    <t>Data sources</t>
  </si>
  <si>
    <t>Official Form 10-K filings from the US SEC EDGAR database.</t>
  </si>
  <si>
    <t>Verified and fully reconcilable.</t>
  </si>
  <si>
    <t>Units and periods</t>
  </si>
  <si>
    <t>All values are presented in billions of USD (USD bn) or ratios.</t>
  </si>
  <si>
    <t>Standardized across all five companies.</t>
  </si>
  <si>
    <t>Ratios formulas</t>
  </si>
  <si>
    <t>Current Ratio = Current Assets / Current Liabilities. Interest Coverage = EBIT / Interest Expense.</t>
  </si>
  <si>
    <t>Mathematically integrated formulas.</t>
  </si>
  <si>
    <t>Stress test meaning</t>
  </si>
  <si>
    <t>Simulates revenue contractions (-5% to -25%) scaled by an operational leverage factor of 2.5.</t>
  </si>
  <si>
    <t>Model assumptions to check solvency buffers.</t>
  </si>
  <si>
    <t>Solvency Interpretation</t>
  </si>
  <si>
    <t>Measures readiness of coverage metrics during severe market disruption events.</t>
  </si>
  <si>
    <t>Does not predict immediate bankruptcy but signals structural health.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</si>
</sst>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6" workbookViewId="0">
      <selection activeCell="B61" sqref="B61"/>
    </sheetView>
  </sheetViews>
  <sheetFormatPr defaultRowHeight="14.5" x14ac:dyDescent="0.35"/>
  <cols>
    <col min="1" max="1" width="12" customWidth="1"/>
    <col min="2" max="2" width="35" customWidth="1"/>
    <col min="3" max="8" width="14" customWidth="1"/>
    <col min="9" max="9" width="86" customWidth="1"/>
    <col min="10" max="10" width="14" customWidth="1"/>
    <col min="11" max="11" width="57" customWidth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35">
      <c r="A2" s="2" t="s">
        <v>11</v>
      </c>
      <c r="B2" s="2" t="s">
        <v>12</v>
      </c>
      <c r="C2" s="3">
        <v>9</v>
      </c>
      <c r="D2" s="3">
        <v>8.8699999999999992</v>
      </c>
      <c r="E2" s="3">
        <v>9.48</v>
      </c>
      <c r="F2" s="3">
        <v>9.93</v>
      </c>
      <c r="G2" s="3">
        <v>9.7080000000000002</v>
      </c>
      <c r="H2" s="3">
        <v>10.1</v>
      </c>
      <c r="I2" s="2" t="s">
        <v>13</v>
      </c>
      <c r="J2" s="2" t="s">
        <v>14</v>
      </c>
      <c r="K2" s="2" t="s">
        <v>15</v>
      </c>
    </row>
    <row r="3" spans="1:11" ht="16" x14ac:dyDescent="0.35">
      <c r="A3" s="2" t="s">
        <v>11</v>
      </c>
      <c r="B3" s="2" t="s">
        <v>16</v>
      </c>
      <c r="C3" s="4">
        <v>0</v>
      </c>
      <c r="D3" s="4">
        <f>IF(C2=0,0,(D2-C2)/C2)</f>
        <v>-1.4444444444444531E-2</v>
      </c>
      <c r="E3" s="4">
        <f>IF(D2=0,0,(E2-D2)/D2)</f>
        <v>6.8771138669673201E-2</v>
      </c>
      <c r="F3" s="4">
        <f>IF(E2=0,0,(F2-E2)/E2)</f>
        <v>4.7468354430379667E-2</v>
      </c>
      <c r="G3" s="4">
        <f>IF(F2=0,0,(G2-F2)/F2)</f>
        <v>-2.23564954682779E-2</v>
      </c>
      <c r="H3" s="4">
        <f>IF(G2=0,0,(H2-G2)/G2)</f>
        <v>4.0379068809229444E-2</v>
      </c>
      <c r="I3" s="2" t="s">
        <v>17</v>
      </c>
      <c r="J3" s="2" t="s">
        <v>17</v>
      </c>
      <c r="K3" s="2" t="s">
        <v>18</v>
      </c>
    </row>
    <row r="4" spans="1:11" ht="16" x14ac:dyDescent="0.35">
      <c r="A4" s="2" t="s">
        <v>11</v>
      </c>
      <c r="B4" s="2" t="s">
        <v>19</v>
      </c>
      <c r="C4" s="3">
        <v>1.75</v>
      </c>
      <c r="D4" s="3">
        <v>1.81</v>
      </c>
      <c r="E4" s="3">
        <v>1.93</v>
      </c>
      <c r="F4" s="3">
        <v>2.2000000000000002</v>
      </c>
      <c r="G4" s="3">
        <v>2.234</v>
      </c>
      <c r="H4" s="3">
        <v>1.77</v>
      </c>
      <c r="I4" s="2" t="s">
        <v>13</v>
      </c>
      <c r="J4" s="2" t="s">
        <v>14</v>
      </c>
      <c r="K4" s="2" t="s">
        <v>20</v>
      </c>
    </row>
    <row r="5" spans="1:11" ht="16" x14ac:dyDescent="0.35">
      <c r="A5" s="2" t="s">
        <v>11</v>
      </c>
      <c r="B5" s="2" t="s">
        <v>21</v>
      </c>
      <c r="C5" s="3">
        <v>4.22</v>
      </c>
      <c r="D5" s="3">
        <v>1.01</v>
      </c>
      <c r="E5" s="3">
        <v>1.06</v>
      </c>
      <c r="F5" s="3">
        <v>-0.1</v>
      </c>
      <c r="G5" s="3">
        <v>1.613</v>
      </c>
      <c r="H5" s="3">
        <v>1.56</v>
      </c>
      <c r="I5" s="2" t="s">
        <v>13</v>
      </c>
      <c r="J5" s="2" t="s">
        <v>14</v>
      </c>
      <c r="K5" s="2" t="s">
        <v>22</v>
      </c>
    </row>
    <row r="6" spans="1:11" ht="16" x14ac:dyDescent="0.35">
      <c r="A6" s="2" t="s">
        <v>11</v>
      </c>
      <c r="B6" s="2" t="s">
        <v>23</v>
      </c>
      <c r="C6" s="4">
        <f t="shared" ref="C6:H6" si="0">IF(C2=0,0,C5/C2)</f>
        <v>0.46888888888888886</v>
      </c>
      <c r="D6" s="4">
        <f t="shared" si="0"/>
        <v>0.11386696730552424</v>
      </c>
      <c r="E6" s="4">
        <f t="shared" si="0"/>
        <v>0.11181434599156118</v>
      </c>
      <c r="F6" s="4">
        <f t="shared" si="0"/>
        <v>-1.0070493454179255E-2</v>
      </c>
      <c r="G6" s="4">
        <f t="shared" si="0"/>
        <v>0.16615162752369181</v>
      </c>
      <c r="H6" s="4">
        <f t="shared" si="0"/>
        <v>0.15445544554455445</v>
      </c>
      <c r="I6" s="2" t="s">
        <v>17</v>
      </c>
      <c r="J6" s="2" t="s">
        <v>17</v>
      </c>
      <c r="K6" s="2" t="s">
        <v>24</v>
      </c>
    </row>
    <row r="7" spans="1:11" ht="16" x14ac:dyDescent="0.35">
      <c r="A7" s="2" t="s">
        <v>11</v>
      </c>
      <c r="B7" s="2" t="s">
        <v>25</v>
      </c>
      <c r="C7" s="3">
        <v>2.11</v>
      </c>
      <c r="D7" s="3">
        <v>0.97</v>
      </c>
      <c r="E7" s="3">
        <v>1.49</v>
      </c>
      <c r="F7" s="3">
        <v>1.61</v>
      </c>
      <c r="G7" s="3">
        <v>1.89</v>
      </c>
      <c r="H7" s="3">
        <v>2.04</v>
      </c>
      <c r="I7" s="2" t="s">
        <v>13</v>
      </c>
      <c r="J7" s="2" t="s">
        <v>14</v>
      </c>
      <c r="K7" s="2" t="s">
        <v>26</v>
      </c>
    </row>
    <row r="8" spans="1:11" ht="16" x14ac:dyDescent="0.35">
      <c r="A8" s="2" t="s">
        <v>11</v>
      </c>
      <c r="B8" s="2" t="s">
        <v>27</v>
      </c>
      <c r="C8" s="3">
        <v>0.28000000000000003</v>
      </c>
      <c r="D8" s="3">
        <v>0.3</v>
      </c>
      <c r="E8" s="3">
        <v>0.3</v>
      </c>
      <c r="F8" s="3">
        <v>0.34</v>
      </c>
      <c r="G8" s="3">
        <v>0.34</v>
      </c>
      <c r="H8" s="3">
        <v>0.35</v>
      </c>
      <c r="I8" s="2" t="s">
        <v>13</v>
      </c>
      <c r="J8" s="2" t="s">
        <v>14</v>
      </c>
      <c r="K8" s="2" t="s">
        <v>28</v>
      </c>
    </row>
    <row r="9" spans="1:11" ht="16" x14ac:dyDescent="0.35">
      <c r="A9" s="2" t="s">
        <v>11</v>
      </c>
      <c r="B9" s="2" t="s">
        <v>29</v>
      </c>
      <c r="C9" s="3">
        <f t="shared" ref="C9:H9" si="1">C7-C8</f>
        <v>1.8299999999999998</v>
      </c>
      <c r="D9" s="3">
        <f t="shared" si="1"/>
        <v>0.66999999999999993</v>
      </c>
      <c r="E9" s="3">
        <f t="shared" si="1"/>
        <v>1.19</v>
      </c>
      <c r="F9" s="3">
        <f t="shared" si="1"/>
        <v>1.27</v>
      </c>
      <c r="G9" s="3">
        <f t="shared" si="1"/>
        <v>1.5499999999999998</v>
      </c>
      <c r="H9" s="3">
        <f t="shared" si="1"/>
        <v>1.69</v>
      </c>
      <c r="I9" s="2" t="s">
        <v>17</v>
      </c>
      <c r="J9" s="2" t="s">
        <v>17</v>
      </c>
      <c r="K9" s="2" t="s">
        <v>30</v>
      </c>
    </row>
    <row r="10" spans="1:11" ht="16" x14ac:dyDescent="0.35">
      <c r="A10" s="2" t="s">
        <v>11</v>
      </c>
      <c r="B10" s="2" t="s">
        <v>31</v>
      </c>
      <c r="C10" s="3">
        <v>13.5</v>
      </c>
      <c r="D10" s="3">
        <v>13.83</v>
      </c>
      <c r="E10" s="3">
        <v>14.06</v>
      </c>
      <c r="F10" s="3">
        <v>16.010000000000002</v>
      </c>
      <c r="G10" s="3">
        <v>16.87</v>
      </c>
      <c r="H10" s="3">
        <v>16.75</v>
      </c>
      <c r="I10" s="2" t="s">
        <v>13</v>
      </c>
      <c r="J10" s="2" t="s">
        <v>14</v>
      </c>
      <c r="K10" s="2" t="s">
        <v>32</v>
      </c>
    </row>
    <row r="11" spans="1:11" ht="16" x14ac:dyDescent="0.35">
      <c r="A11" s="2" t="s">
        <v>11</v>
      </c>
      <c r="B11" s="2" t="s">
        <v>33</v>
      </c>
      <c r="C11" s="3">
        <v>12.6</v>
      </c>
      <c r="D11" s="3">
        <v>12.93</v>
      </c>
      <c r="E11" s="3">
        <v>13.26</v>
      </c>
      <c r="F11" s="3">
        <v>13.35</v>
      </c>
      <c r="G11" s="3">
        <v>14</v>
      </c>
      <c r="H11" s="3">
        <v>15.25</v>
      </c>
      <c r="I11" s="2" t="s">
        <v>13</v>
      </c>
      <c r="J11" s="2" t="s">
        <v>14</v>
      </c>
      <c r="K11" s="2" t="s">
        <v>34</v>
      </c>
    </row>
    <row r="12" spans="1:11" ht="16" x14ac:dyDescent="0.35">
      <c r="A12" s="2" t="s">
        <v>11</v>
      </c>
      <c r="B12" s="2" t="s">
        <v>35</v>
      </c>
      <c r="C12" s="5">
        <f t="shared" ref="C12:H12" si="2">IF(C11=0,0,C10/C11)</f>
        <v>1.0714285714285714</v>
      </c>
      <c r="D12" s="5">
        <f t="shared" si="2"/>
        <v>1.0696055684454757</v>
      </c>
      <c r="E12" s="5">
        <f t="shared" si="2"/>
        <v>1.0603318250377074</v>
      </c>
      <c r="F12" s="5">
        <f t="shared" si="2"/>
        <v>1.1992509363295882</v>
      </c>
      <c r="G12" s="5">
        <f t="shared" si="2"/>
        <v>1.2050000000000001</v>
      </c>
      <c r="H12" s="5">
        <f t="shared" si="2"/>
        <v>1.098360655737705</v>
      </c>
      <c r="I12" s="2" t="s">
        <v>17</v>
      </c>
      <c r="J12" s="2" t="s">
        <v>17</v>
      </c>
      <c r="K12" s="2" t="s">
        <v>36</v>
      </c>
    </row>
    <row r="13" spans="1:11" ht="16" x14ac:dyDescent="0.35">
      <c r="A13" s="2" t="s">
        <v>11</v>
      </c>
      <c r="B13" s="2" t="s">
        <v>37</v>
      </c>
      <c r="C13" s="3">
        <v>5.49</v>
      </c>
      <c r="D13" s="3">
        <v>5.48</v>
      </c>
      <c r="E13" s="3">
        <v>5.95</v>
      </c>
      <c r="F13" s="3">
        <v>5.94</v>
      </c>
      <c r="G13" s="3">
        <v>6.9</v>
      </c>
      <c r="H13" s="3">
        <v>7.1</v>
      </c>
      <c r="I13" s="2" t="s">
        <v>13</v>
      </c>
      <c r="J13" s="2" t="s">
        <v>14</v>
      </c>
      <c r="K13" s="2" t="s">
        <v>38</v>
      </c>
    </row>
    <row r="14" spans="1:11" ht="16" x14ac:dyDescent="0.35">
      <c r="A14" s="2" t="s">
        <v>11</v>
      </c>
      <c r="B14" s="2" t="s">
        <v>39</v>
      </c>
      <c r="C14" s="3">
        <v>0.28000000000000003</v>
      </c>
      <c r="D14" s="3">
        <v>0.3</v>
      </c>
      <c r="E14" s="3">
        <v>0.3</v>
      </c>
      <c r="F14" s="3">
        <v>0.34</v>
      </c>
      <c r="G14" s="3">
        <v>0.26</v>
      </c>
      <c r="H14" s="3">
        <v>0.34</v>
      </c>
      <c r="I14" s="2" t="s">
        <v>13</v>
      </c>
      <c r="J14" s="2" t="s">
        <v>14</v>
      </c>
      <c r="K14" s="2" t="s">
        <v>40</v>
      </c>
    </row>
    <row r="15" spans="1:11" ht="16" x14ac:dyDescent="0.35">
      <c r="A15" s="2" t="s">
        <v>11</v>
      </c>
      <c r="B15" s="2" t="s">
        <v>41</v>
      </c>
      <c r="C15" s="5">
        <f t="shared" ref="C15:H15" si="3">IF(C14=0,0,C4/C14)</f>
        <v>6.2499999999999991</v>
      </c>
      <c r="D15" s="5">
        <f t="shared" si="3"/>
        <v>6.0333333333333341</v>
      </c>
      <c r="E15" s="5">
        <f t="shared" si="3"/>
        <v>6.4333333333333336</v>
      </c>
      <c r="F15" s="5">
        <f t="shared" si="3"/>
        <v>6.4705882352941178</v>
      </c>
      <c r="G15" s="5">
        <f t="shared" si="3"/>
        <v>8.592307692307692</v>
      </c>
      <c r="H15" s="5">
        <f t="shared" si="3"/>
        <v>5.2058823529411757</v>
      </c>
      <c r="I15" s="2" t="s">
        <v>17</v>
      </c>
      <c r="J15" s="2" t="s">
        <v>17</v>
      </c>
      <c r="K15" s="2" t="s">
        <v>42</v>
      </c>
    </row>
    <row r="16" spans="1:11" ht="16" x14ac:dyDescent="0.35">
      <c r="A16" s="2" t="s">
        <v>43</v>
      </c>
      <c r="B16" s="2" t="s">
        <v>12</v>
      </c>
      <c r="C16" s="3">
        <v>12.2</v>
      </c>
      <c r="D16" s="3">
        <v>12.5</v>
      </c>
      <c r="E16" s="3">
        <v>13.4</v>
      </c>
      <c r="F16" s="3">
        <v>14.1</v>
      </c>
      <c r="G16" s="3">
        <v>17.181000000000001</v>
      </c>
      <c r="H16" s="3">
        <v>17.579999999999998</v>
      </c>
      <c r="I16" s="2" t="s">
        <v>44</v>
      </c>
      <c r="J16" s="2" t="s">
        <v>14</v>
      </c>
      <c r="K16" s="2" t="s">
        <v>15</v>
      </c>
    </row>
    <row r="17" spans="1:11" ht="16" x14ac:dyDescent="0.35">
      <c r="A17" s="2" t="s">
        <v>43</v>
      </c>
      <c r="B17" s="2" t="s">
        <v>16</v>
      </c>
      <c r="C17" s="4">
        <v>0</v>
      </c>
      <c r="D17" s="4">
        <f>IF(C16=0,0,(D16-C16)/C16)</f>
        <v>2.4590163934426288E-2</v>
      </c>
      <c r="E17" s="4">
        <f>IF(D16=0,0,(E16-D16)/D16)</f>
        <v>7.2000000000000022E-2</v>
      </c>
      <c r="F17" s="4">
        <f>IF(E16=0,0,(F16-E16)/E16)</f>
        <v>5.2238805970149196E-2</v>
      </c>
      <c r="G17" s="4">
        <f>IF(F16=0,0,(G16-F16)/F16)</f>
        <v>0.21851063829787243</v>
      </c>
      <c r="H17" s="4">
        <f>IF(G16=0,0,(H16-G16)/G16)</f>
        <v>2.3223328094988494E-2</v>
      </c>
      <c r="I17" s="2" t="s">
        <v>17</v>
      </c>
      <c r="J17" s="2" t="s">
        <v>17</v>
      </c>
      <c r="K17" s="2" t="s">
        <v>18</v>
      </c>
    </row>
    <row r="18" spans="1:11" ht="16" x14ac:dyDescent="0.35">
      <c r="A18" s="2" t="s">
        <v>43</v>
      </c>
      <c r="B18" s="2" t="s">
        <v>19</v>
      </c>
      <c r="C18" s="3">
        <v>3.1</v>
      </c>
      <c r="D18" s="3">
        <v>3.2</v>
      </c>
      <c r="E18" s="3">
        <v>3.4</v>
      </c>
      <c r="F18" s="3">
        <v>3.5</v>
      </c>
      <c r="G18" s="3">
        <v>4.3440000000000003</v>
      </c>
      <c r="H18" s="3">
        <v>4.2</v>
      </c>
      <c r="I18" s="2" t="s">
        <v>44</v>
      </c>
      <c r="J18" s="2" t="s">
        <v>14</v>
      </c>
      <c r="K18" s="2" t="s">
        <v>45</v>
      </c>
    </row>
    <row r="19" spans="1:11" ht="16" x14ac:dyDescent="0.35">
      <c r="A19" s="2" t="s">
        <v>43</v>
      </c>
      <c r="B19" s="2" t="s">
        <v>21</v>
      </c>
      <c r="C19" s="3">
        <v>2.4</v>
      </c>
      <c r="D19" s="3">
        <v>2.6</v>
      </c>
      <c r="E19" s="3">
        <v>2.7</v>
      </c>
      <c r="F19" s="3">
        <v>2.9</v>
      </c>
      <c r="G19" s="3">
        <v>3.6949999999999998</v>
      </c>
      <c r="H19" s="3">
        <v>3.91</v>
      </c>
      <c r="I19" s="2" t="s">
        <v>44</v>
      </c>
      <c r="J19" s="2" t="s">
        <v>14</v>
      </c>
      <c r="K19" s="2" t="s">
        <v>46</v>
      </c>
    </row>
    <row r="20" spans="1:11" ht="16" x14ac:dyDescent="0.35">
      <c r="A20" s="2" t="s">
        <v>43</v>
      </c>
      <c r="B20" s="2" t="s">
        <v>23</v>
      </c>
      <c r="C20" s="4">
        <f t="shared" ref="C20:H20" si="4">IF(C16=0,0,C19/C16)</f>
        <v>0.19672131147540983</v>
      </c>
      <c r="D20" s="4">
        <f t="shared" si="4"/>
        <v>0.20800000000000002</v>
      </c>
      <c r="E20" s="4">
        <f t="shared" si="4"/>
        <v>0.20149253731343283</v>
      </c>
      <c r="F20" s="4">
        <f t="shared" si="4"/>
        <v>0.20567375886524822</v>
      </c>
      <c r="G20" s="4">
        <f t="shared" si="4"/>
        <v>0.21506315115534599</v>
      </c>
      <c r="H20" s="4">
        <f t="shared" si="4"/>
        <v>0.22241183162684872</v>
      </c>
      <c r="I20" s="2" t="s">
        <v>17</v>
      </c>
      <c r="J20" s="2" t="s">
        <v>17</v>
      </c>
      <c r="K20" s="2" t="s">
        <v>24</v>
      </c>
    </row>
    <row r="21" spans="1:11" ht="16" x14ac:dyDescent="0.35">
      <c r="A21" s="2" t="s">
        <v>43</v>
      </c>
      <c r="B21" s="2" t="s">
        <v>25</v>
      </c>
      <c r="C21" s="3">
        <v>2.6</v>
      </c>
      <c r="D21" s="3">
        <v>2.8</v>
      </c>
      <c r="E21" s="3">
        <v>3.1</v>
      </c>
      <c r="F21" s="3">
        <v>3.2</v>
      </c>
      <c r="G21" s="3">
        <v>3.5</v>
      </c>
      <c r="H21" s="3">
        <v>3.8</v>
      </c>
      <c r="I21" s="2" t="s">
        <v>44</v>
      </c>
      <c r="J21" s="2" t="s">
        <v>14</v>
      </c>
      <c r="K21" s="2" t="s">
        <v>26</v>
      </c>
    </row>
    <row r="22" spans="1:11" ht="16" x14ac:dyDescent="0.35">
      <c r="A22" s="2" t="s">
        <v>43</v>
      </c>
      <c r="B22" s="2" t="s">
        <v>27</v>
      </c>
      <c r="C22" s="3">
        <v>0.4</v>
      </c>
      <c r="D22" s="3">
        <v>0.45</v>
      </c>
      <c r="E22" s="3">
        <v>0.5</v>
      </c>
      <c r="F22" s="3">
        <v>0.55000000000000004</v>
      </c>
      <c r="G22" s="3">
        <v>0.65</v>
      </c>
      <c r="H22" s="3">
        <v>0.73</v>
      </c>
      <c r="I22" s="2" t="s">
        <v>44</v>
      </c>
      <c r="J22" s="2" t="s">
        <v>14</v>
      </c>
      <c r="K22" s="2" t="s">
        <v>28</v>
      </c>
    </row>
    <row r="23" spans="1:11" ht="16" x14ac:dyDescent="0.35">
      <c r="A23" s="2" t="s">
        <v>43</v>
      </c>
      <c r="B23" s="2" t="s">
        <v>29</v>
      </c>
      <c r="C23" s="3">
        <f t="shared" ref="C23:H23" si="5">C21-C22</f>
        <v>2.2000000000000002</v>
      </c>
      <c r="D23" s="3">
        <f t="shared" si="5"/>
        <v>2.3499999999999996</v>
      </c>
      <c r="E23" s="3">
        <f t="shared" si="5"/>
        <v>2.6</v>
      </c>
      <c r="F23" s="3">
        <f t="shared" si="5"/>
        <v>2.6500000000000004</v>
      </c>
      <c r="G23" s="3">
        <f t="shared" si="5"/>
        <v>2.85</v>
      </c>
      <c r="H23" s="3">
        <f t="shared" si="5"/>
        <v>3.07</v>
      </c>
      <c r="I23" s="2" t="s">
        <v>17</v>
      </c>
      <c r="J23" s="2" t="s">
        <v>17</v>
      </c>
      <c r="K23" s="2" t="s">
        <v>30</v>
      </c>
    </row>
    <row r="24" spans="1:11" ht="16" x14ac:dyDescent="0.35">
      <c r="A24" s="2" t="s">
        <v>43</v>
      </c>
      <c r="B24" s="2" t="s">
        <v>31</v>
      </c>
      <c r="C24" s="3">
        <v>14.1</v>
      </c>
      <c r="D24" s="3">
        <v>14.5</v>
      </c>
      <c r="E24" s="3">
        <v>15.1</v>
      </c>
      <c r="F24" s="3">
        <v>15.8</v>
      </c>
      <c r="G24" s="3">
        <v>16.100000000000001</v>
      </c>
      <c r="H24" s="3">
        <v>16.5</v>
      </c>
      <c r="I24" s="2" t="s">
        <v>44</v>
      </c>
      <c r="J24" s="2" t="s">
        <v>14</v>
      </c>
      <c r="K24" s="2" t="s">
        <v>32</v>
      </c>
    </row>
    <row r="25" spans="1:11" ht="16" x14ac:dyDescent="0.35">
      <c r="A25" s="2" t="s">
        <v>43</v>
      </c>
      <c r="B25" s="2" t="s">
        <v>33</v>
      </c>
      <c r="C25" s="3">
        <v>15.2</v>
      </c>
      <c r="D25" s="3">
        <v>15.5</v>
      </c>
      <c r="E25" s="3">
        <v>16.2</v>
      </c>
      <c r="F25" s="3">
        <v>16.5</v>
      </c>
      <c r="G25" s="3">
        <v>16.899999999999999</v>
      </c>
      <c r="H25" s="3">
        <v>17.100000000000001</v>
      </c>
      <c r="I25" s="2" t="s">
        <v>44</v>
      </c>
      <c r="J25" s="2" t="s">
        <v>14</v>
      </c>
      <c r="K25" s="2" t="s">
        <v>34</v>
      </c>
    </row>
    <row r="26" spans="1:11" ht="16" x14ac:dyDescent="0.35">
      <c r="A26" s="2" t="s">
        <v>43</v>
      </c>
      <c r="B26" s="2" t="s">
        <v>35</v>
      </c>
      <c r="C26" s="5">
        <f t="shared" ref="C26:H26" si="6">IF(C25=0,0,C24/C25)</f>
        <v>0.92763157894736847</v>
      </c>
      <c r="D26" s="5">
        <f t="shared" si="6"/>
        <v>0.93548387096774188</v>
      </c>
      <c r="E26" s="5">
        <f t="shared" si="6"/>
        <v>0.9320987654320988</v>
      </c>
      <c r="F26" s="5">
        <f t="shared" si="6"/>
        <v>0.95757575757575764</v>
      </c>
      <c r="G26" s="5">
        <f t="shared" si="6"/>
        <v>0.95266272189349133</v>
      </c>
      <c r="H26" s="5">
        <f t="shared" si="6"/>
        <v>0.96491228070175428</v>
      </c>
      <c r="I26" s="2" t="s">
        <v>17</v>
      </c>
      <c r="J26" s="2" t="s">
        <v>17</v>
      </c>
      <c r="K26" s="2" t="s">
        <v>36</v>
      </c>
    </row>
    <row r="27" spans="1:11" ht="16" x14ac:dyDescent="0.35">
      <c r="A27" s="2" t="s">
        <v>43</v>
      </c>
      <c r="B27" s="2" t="s">
        <v>37</v>
      </c>
      <c r="C27" s="3">
        <v>11.2</v>
      </c>
      <c r="D27" s="3">
        <v>11.5</v>
      </c>
      <c r="E27" s="3">
        <v>11.8</v>
      </c>
      <c r="F27" s="3">
        <v>12.1</v>
      </c>
      <c r="G27" s="3">
        <v>14.5</v>
      </c>
      <c r="H27" s="3">
        <v>15.87</v>
      </c>
      <c r="I27" s="2" t="s">
        <v>44</v>
      </c>
      <c r="J27" s="2" t="s">
        <v>14</v>
      </c>
      <c r="K27" s="2" t="s">
        <v>38</v>
      </c>
    </row>
    <row r="28" spans="1:11" ht="16" x14ac:dyDescent="0.35">
      <c r="A28" s="2" t="s">
        <v>43</v>
      </c>
      <c r="B28" s="2" t="s">
        <v>39</v>
      </c>
      <c r="C28" s="3">
        <v>0.42</v>
      </c>
      <c r="D28" s="3">
        <v>0.45</v>
      </c>
      <c r="E28" s="3">
        <v>0.48</v>
      </c>
      <c r="F28" s="3">
        <v>0.5</v>
      </c>
      <c r="G28" s="3">
        <v>0.81499999999999995</v>
      </c>
      <c r="H28" s="3">
        <v>0.52</v>
      </c>
      <c r="I28" s="2" t="s">
        <v>44</v>
      </c>
      <c r="J28" s="2" t="s">
        <v>14</v>
      </c>
      <c r="K28" s="2" t="s">
        <v>40</v>
      </c>
    </row>
    <row r="29" spans="1:11" ht="16" x14ac:dyDescent="0.35">
      <c r="A29" s="2" t="s">
        <v>43</v>
      </c>
      <c r="B29" s="2" t="s">
        <v>41</v>
      </c>
      <c r="C29" s="5">
        <f t="shared" ref="C29:H29" si="7">IF(C28=0,0,C18/C28)</f>
        <v>7.3809523809523814</v>
      </c>
      <c r="D29" s="5">
        <f t="shared" si="7"/>
        <v>7.1111111111111116</v>
      </c>
      <c r="E29" s="5">
        <f t="shared" si="7"/>
        <v>7.083333333333333</v>
      </c>
      <c r="F29" s="5">
        <f t="shared" si="7"/>
        <v>7</v>
      </c>
      <c r="G29" s="5">
        <f t="shared" si="7"/>
        <v>5.3300613496932518</v>
      </c>
      <c r="H29" s="5">
        <f t="shared" si="7"/>
        <v>8.0769230769230766</v>
      </c>
      <c r="I29" s="2" t="s">
        <v>17</v>
      </c>
      <c r="J29" s="2" t="s">
        <v>17</v>
      </c>
      <c r="K29" s="2" t="s">
        <v>42</v>
      </c>
    </row>
    <row r="30" spans="1:11" ht="16" x14ac:dyDescent="0.35">
      <c r="A30" s="2" t="s">
        <v>47</v>
      </c>
      <c r="B30" s="2" t="s">
        <v>12</v>
      </c>
      <c r="C30" s="3">
        <v>19.82</v>
      </c>
      <c r="D30" s="3">
        <v>20.7</v>
      </c>
      <c r="E30" s="3">
        <v>22.7</v>
      </c>
      <c r="F30" s="3">
        <v>23.5</v>
      </c>
      <c r="G30" s="3">
        <v>26.981000000000002</v>
      </c>
      <c r="H30" s="3">
        <v>27.95</v>
      </c>
      <c r="I30" s="2" t="s">
        <v>48</v>
      </c>
      <c r="J30" s="2" t="s">
        <v>14</v>
      </c>
      <c r="K30" s="2" t="s">
        <v>15</v>
      </c>
    </row>
    <row r="31" spans="1:11" ht="16" x14ac:dyDescent="0.35">
      <c r="A31" s="2" t="s">
        <v>47</v>
      </c>
      <c r="B31" s="2" t="s">
        <v>16</v>
      </c>
      <c r="C31" s="4">
        <v>0</v>
      </c>
      <c r="D31" s="4">
        <f>IF(C30=0,0,(D30-C30)/C30)</f>
        <v>4.4399596367305699E-2</v>
      </c>
      <c r="E31" s="4">
        <f>IF(D30=0,0,(E30-D30)/D30)</f>
        <v>9.6618357487922704E-2</v>
      </c>
      <c r="F31" s="4">
        <f>IF(E30=0,0,(F30-E30)/E30)</f>
        <v>3.5242290748898709E-2</v>
      </c>
      <c r="G31" s="4">
        <f>IF(F30=0,0,(G30-F30)/F30)</f>
        <v>0.14812765957446816</v>
      </c>
      <c r="H31" s="4">
        <f>IF(G30=0,0,(H30-G30)/G30)</f>
        <v>3.5914161817575244E-2</v>
      </c>
      <c r="I31" s="2" t="s">
        <v>17</v>
      </c>
      <c r="J31" s="2" t="s">
        <v>17</v>
      </c>
      <c r="K31" s="2" t="s">
        <v>18</v>
      </c>
    </row>
    <row r="32" spans="1:11" ht="16" x14ac:dyDescent="0.35">
      <c r="A32" s="2" t="s">
        <v>47</v>
      </c>
      <c r="B32" s="2" t="s">
        <v>19</v>
      </c>
      <c r="C32" s="3">
        <v>4.3</v>
      </c>
      <c r="D32" s="3">
        <v>4.5999999999999996</v>
      </c>
      <c r="E32" s="3">
        <v>5.0999999999999996</v>
      </c>
      <c r="F32" s="3">
        <v>5.4</v>
      </c>
      <c r="G32" s="3">
        <v>6.2229999999999999</v>
      </c>
      <c r="H32" s="3">
        <v>6.4</v>
      </c>
      <c r="I32" s="2" t="s">
        <v>48</v>
      </c>
      <c r="J32" s="2" t="s">
        <v>14</v>
      </c>
      <c r="K32" s="2" t="s">
        <v>45</v>
      </c>
    </row>
    <row r="33" spans="1:11" ht="16" x14ac:dyDescent="0.35">
      <c r="A33" s="2" t="s">
        <v>47</v>
      </c>
      <c r="B33" s="2" t="s">
        <v>21</v>
      </c>
      <c r="C33" s="3">
        <v>3.1</v>
      </c>
      <c r="D33" s="3">
        <v>3.4</v>
      </c>
      <c r="E33" s="3">
        <v>3.8</v>
      </c>
      <c r="F33" s="3">
        <v>4.0999999999999996</v>
      </c>
      <c r="G33" s="3">
        <v>4.16</v>
      </c>
      <c r="H33" s="3">
        <v>4.8</v>
      </c>
      <c r="I33" s="2" t="s">
        <v>48</v>
      </c>
      <c r="J33" s="2" t="s">
        <v>14</v>
      </c>
      <c r="K33" s="2" t="s">
        <v>49</v>
      </c>
    </row>
    <row r="34" spans="1:11" ht="16" x14ac:dyDescent="0.35">
      <c r="A34" s="2" t="s">
        <v>47</v>
      </c>
      <c r="B34" s="2" t="s">
        <v>23</v>
      </c>
      <c r="C34" s="4">
        <f t="shared" ref="C34:H34" si="8">IF(C30=0,0,C33/C30)</f>
        <v>0.15640766902119072</v>
      </c>
      <c r="D34" s="4">
        <f t="shared" si="8"/>
        <v>0.16425120772946861</v>
      </c>
      <c r="E34" s="4">
        <f t="shared" si="8"/>
        <v>0.16740088105726872</v>
      </c>
      <c r="F34" s="4">
        <f t="shared" si="8"/>
        <v>0.17446808510638295</v>
      </c>
      <c r="G34" s="4">
        <f t="shared" si="8"/>
        <v>0.15418257292168563</v>
      </c>
      <c r="H34" s="4">
        <f t="shared" si="8"/>
        <v>0.17173524150268335</v>
      </c>
      <c r="I34" s="2" t="s">
        <v>17</v>
      </c>
      <c r="J34" s="2" t="s">
        <v>17</v>
      </c>
      <c r="K34" s="2" t="s">
        <v>24</v>
      </c>
    </row>
    <row r="35" spans="1:11" ht="16" x14ac:dyDescent="0.35">
      <c r="A35" s="2" t="s">
        <v>47</v>
      </c>
      <c r="B35" s="2" t="s">
        <v>25</v>
      </c>
      <c r="C35" s="3">
        <v>3.9</v>
      </c>
      <c r="D35" s="3">
        <v>4.2</v>
      </c>
      <c r="E35" s="3">
        <v>4.5999999999999996</v>
      </c>
      <c r="F35" s="3">
        <v>4.9000000000000004</v>
      </c>
      <c r="G35" s="3">
        <v>5.3</v>
      </c>
      <c r="H35" s="3">
        <v>5.8</v>
      </c>
      <c r="I35" s="2" t="s">
        <v>48</v>
      </c>
      <c r="J35" s="2" t="s">
        <v>14</v>
      </c>
      <c r="K35" s="2" t="s">
        <v>26</v>
      </c>
    </row>
    <row r="36" spans="1:11" ht="16" x14ac:dyDescent="0.35">
      <c r="A36" s="2" t="s">
        <v>47</v>
      </c>
      <c r="B36" s="2" t="s">
        <v>27</v>
      </c>
      <c r="C36" s="3">
        <v>0.5</v>
      </c>
      <c r="D36" s="3">
        <v>0.55000000000000004</v>
      </c>
      <c r="E36" s="3">
        <v>0.6</v>
      </c>
      <c r="F36" s="3">
        <v>0.65</v>
      </c>
      <c r="G36" s="3">
        <v>0.7</v>
      </c>
      <c r="H36" s="3">
        <v>0.78</v>
      </c>
      <c r="I36" s="2" t="s">
        <v>48</v>
      </c>
      <c r="J36" s="2" t="s">
        <v>14</v>
      </c>
      <c r="K36" s="2" t="s">
        <v>28</v>
      </c>
    </row>
    <row r="37" spans="1:11" ht="16" x14ac:dyDescent="0.35">
      <c r="A37" s="2" t="s">
        <v>47</v>
      </c>
      <c r="B37" s="2" t="s">
        <v>29</v>
      </c>
      <c r="C37" s="3">
        <f t="shared" ref="C37:H37" si="9">C35-C36</f>
        <v>3.4</v>
      </c>
      <c r="D37" s="3">
        <f t="shared" si="9"/>
        <v>3.6500000000000004</v>
      </c>
      <c r="E37" s="3">
        <f t="shared" si="9"/>
        <v>3.9999999999999996</v>
      </c>
      <c r="F37" s="3">
        <f t="shared" si="9"/>
        <v>4.25</v>
      </c>
      <c r="G37" s="3">
        <f t="shared" si="9"/>
        <v>4.5999999999999996</v>
      </c>
      <c r="H37" s="3">
        <f t="shared" si="9"/>
        <v>5.0199999999999996</v>
      </c>
      <c r="I37" s="2" t="s">
        <v>17</v>
      </c>
      <c r="J37" s="2" t="s">
        <v>17</v>
      </c>
      <c r="K37" s="2" t="s">
        <v>30</v>
      </c>
    </row>
    <row r="38" spans="1:11" ht="16" x14ac:dyDescent="0.35">
      <c r="A38" s="2" t="s">
        <v>47</v>
      </c>
      <c r="B38" s="2" t="s">
        <v>31</v>
      </c>
      <c r="C38" s="3">
        <v>22.1</v>
      </c>
      <c r="D38" s="3">
        <v>23.4</v>
      </c>
      <c r="E38" s="3">
        <v>24.8</v>
      </c>
      <c r="F38" s="3">
        <v>26.1</v>
      </c>
      <c r="G38" s="3">
        <v>27.5</v>
      </c>
      <c r="H38" s="3">
        <v>28.9</v>
      </c>
      <c r="I38" s="2" t="s">
        <v>48</v>
      </c>
      <c r="J38" s="2" t="s">
        <v>14</v>
      </c>
      <c r="K38" s="2" t="s">
        <v>32</v>
      </c>
    </row>
    <row r="39" spans="1:11" ht="16" x14ac:dyDescent="0.35">
      <c r="A39" s="2" t="s">
        <v>47</v>
      </c>
      <c r="B39" s="2" t="s">
        <v>33</v>
      </c>
      <c r="C39" s="3">
        <v>19.5</v>
      </c>
      <c r="D39" s="3">
        <v>20.100000000000001</v>
      </c>
      <c r="E39" s="3">
        <v>21.3</v>
      </c>
      <c r="F39" s="3">
        <v>22.4</v>
      </c>
      <c r="G39" s="3">
        <v>23.1</v>
      </c>
      <c r="H39" s="3">
        <v>24.2</v>
      </c>
      <c r="I39" s="2" t="s">
        <v>48</v>
      </c>
      <c r="J39" s="2" t="s">
        <v>14</v>
      </c>
      <c r="K39" s="2" t="s">
        <v>34</v>
      </c>
    </row>
    <row r="40" spans="1:11" ht="16" x14ac:dyDescent="0.35">
      <c r="A40" s="2" t="s">
        <v>47</v>
      </c>
      <c r="B40" s="2" t="s">
        <v>35</v>
      </c>
      <c r="C40" s="5">
        <f t="shared" ref="C40:H40" si="10">IF(C39=0,0,C38/C39)</f>
        <v>1.1333333333333333</v>
      </c>
      <c r="D40" s="5">
        <f t="shared" si="10"/>
        <v>1.1641791044776117</v>
      </c>
      <c r="E40" s="5">
        <f t="shared" si="10"/>
        <v>1.164319248826291</v>
      </c>
      <c r="F40" s="5">
        <f t="shared" si="10"/>
        <v>1.1651785714285716</v>
      </c>
      <c r="G40" s="5">
        <f t="shared" si="10"/>
        <v>1.1904761904761905</v>
      </c>
      <c r="H40" s="5">
        <f t="shared" si="10"/>
        <v>1.1942148760330578</v>
      </c>
      <c r="I40" s="2" t="s">
        <v>17</v>
      </c>
      <c r="J40" s="2" t="s">
        <v>17</v>
      </c>
      <c r="K40" s="2" t="s">
        <v>36</v>
      </c>
    </row>
    <row r="41" spans="1:11" ht="16" x14ac:dyDescent="0.35">
      <c r="A41" s="2" t="s">
        <v>47</v>
      </c>
      <c r="B41" s="2" t="s">
        <v>37</v>
      </c>
      <c r="C41" s="3">
        <v>11.4</v>
      </c>
      <c r="D41" s="3">
        <v>11.9</v>
      </c>
      <c r="E41" s="3">
        <v>12.3</v>
      </c>
      <c r="F41" s="3">
        <v>12.8</v>
      </c>
      <c r="G41" s="3">
        <v>13.4</v>
      </c>
      <c r="H41" s="3">
        <v>14.1</v>
      </c>
      <c r="I41" s="2" t="s">
        <v>48</v>
      </c>
      <c r="J41" s="2" t="s">
        <v>14</v>
      </c>
      <c r="K41" s="2" t="s">
        <v>38</v>
      </c>
    </row>
    <row r="42" spans="1:11" ht="16" x14ac:dyDescent="0.35">
      <c r="A42" s="2" t="s">
        <v>47</v>
      </c>
      <c r="B42" s="2" t="s">
        <v>39</v>
      </c>
      <c r="C42" s="3">
        <v>0.5</v>
      </c>
      <c r="D42" s="3">
        <v>0.52</v>
      </c>
      <c r="E42" s="3">
        <v>0.55000000000000004</v>
      </c>
      <c r="F42" s="3">
        <v>0.57999999999999996</v>
      </c>
      <c r="G42" s="3">
        <v>0.96</v>
      </c>
      <c r="H42" s="3">
        <v>0.62</v>
      </c>
      <c r="I42" s="2" t="s">
        <v>48</v>
      </c>
      <c r="J42" s="2" t="s">
        <v>14</v>
      </c>
      <c r="K42" s="2" t="s">
        <v>40</v>
      </c>
    </row>
    <row r="43" spans="1:11" ht="16" x14ac:dyDescent="0.35">
      <c r="A43" s="2" t="s">
        <v>47</v>
      </c>
      <c r="B43" s="2" t="s">
        <v>41</v>
      </c>
      <c r="C43" s="5">
        <f t="shared" ref="C43:H43" si="11">IF(C42=0,0,C32/C42)</f>
        <v>8.6</v>
      </c>
      <c r="D43" s="5">
        <f t="shared" si="11"/>
        <v>8.8461538461538449</v>
      </c>
      <c r="E43" s="5">
        <f t="shared" si="11"/>
        <v>9.2727272727272716</v>
      </c>
      <c r="F43" s="5">
        <f t="shared" si="11"/>
        <v>9.3103448275862082</v>
      </c>
      <c r="G43" s="5">
        <f t="shared" si="11"/>
        <v>6.4822916666666668</v>
      </c>
      <c r="H43" s="5">
        <f t="shared" si="11"/>
        <v>10.322580645161292</v>
      </c>
      <c r="I43" s="2" t="s">
        <v>17</v>
      </c>
      <c r="J43" s="2" t="s">
        <v>17</v>
      </c>
      <c r="K43" s="2" t="s">
        <v>42</v>
      </c>
    </row>
    <row r="44" spans="1:11" ht="16" x14ac:dyDescent="0.35">
      <c r="A44" s="2" t="s">
        <v>50</v>
      </c>
      <c r="B44" s="2" t="s">
        <v>12</v>
      </c>
      <c r="C44" s="3">
        <v>7.97</v>
      </c>
      <c r="D44" s="3">
        <v>8.4</v>
      </c>
      <c r="E44" s="3">
        <v>9.9</v>
      </c>
      <c r="F44" s="3">
        <v>11.2</v>
      </c>
      <c r="G44" s="3">
        <v>13.942</v>
      </c>
      <c r="H44" s="3">
        <v>15.75</v>
      </c>
      <c r="I44" s="2" t="s">
        <v>51</v>
      </c>
      <c r="J44" s="2" t="s">
        <v>14</v>
      </c>
      <c r="K44" s="2" t="s">
        <v>15</v>
      </c>
    </row>
    <row r="45" spans="1:11" ht="16" x14ac:dyDescent="0.35">
      <c r="A45" s="2" t="s">
        <v>50</v>
      </c>
      <c r="B45" s="2" t="s">
        <v>16</v>
      </c>
      <c r="C45" s="4">
        <v>0</v>
      </c>
      <c r="D45" s="4">
        <f>IF(C44=0,0,(D44-C44)/C44)</f>
        <v>5.3952321204517019E-2</v>
      </c>
      <c r="E45" s="4">
        <f>IF(D44=0,0,(E44-D44)/D44)</f>
        <v>0.17857142857142858</v>
      </c>
      <c r="F45" s="4">
        <f>IF(E44=0,0,(F44-E44)/E44)</f>
        <v>0.13131313131313119</v>
      </c>
      <c r="G45" s="4">
        <f>IF(F44=0,0,(G44-F44)/F44)</f>
        <v>0.24482142857142866</v>
      </c>
      <c r="H45" s="4">
        <f>IF(G44=0,0,(H44-G44)/G44)</f>
        <v>0.12968010328503801</v>
      </c>
      <c r="I45" s="2" t="s">
        <v>17</v>
      </c>
      <c r="J45" s="2" t="s">
        <v>17</v>
      </c>
      <c r="K45" s="2" t="s">
        <v>18</v>
      </c>
    </row>
    <row r="46" spans="1:11" ht="16" x14ac:dyDescent="0.35">
      <c r="A46" s="2" t="s">
        <v>50</v>
      </c>
      <c r="B46" s="2" t="s">
        <v>19</v>
      </c>
      <c r="C46" s="3">
        <v>1.4</v>
      </c>
      <c r="D46" s="3">
        <v>1.55</v>
      </c>
      <c r="E46" s="3">
        <v>1.85</v>
      </c>
      <c r="F46" s="3">
        <v>2.1</v>
      </c>
      <c r="G46" s="3">
        <v>2.6</v>
      </c>
      <c r="H46" s="3">
        <v>3.1</v>
      </c>
      <c r="I46" s="2" t="s">
        <v>51</v>
      </c>
      <c r="J46" s="2" t="s">
        <v>14</v>
      </c>
      <c r="K46" s="2" t="s">
        <v>52</v>
      </c>
    </row>
    <row r="47" spans="1:11" ht="16" x14ac:dyDescent="0.35">
      <c r="A47" s="2" t="s">
        <v>50</v>
      </c>
      <c r="B47" s="2" t="s">
        <v>21</v>
      </c>
      <c r="C47" s="3">
        <v>0.9</v>
      </c>
      <c r="D47" s="3">
        <v>1.05</v>
      </c>
      <c r="E47" s="3">
        <v>1.2</v>
      </c>
      <c r="F47" s="3">
        <v>1.4</v>
      </c>
      <c r="G47" s="3">
        <v>1.5029999999999999</v>
      </c>
      <c r="H47" s="3">
        <v>2.2000000000000002</v>
      </c>
      <c r="I47" s="2" t="s">
        <v>51</v>
      </c>
      <c r="J47" s="2" t="s">
        <v>14</v>
      </c>
      <c r="K47" s="2" t="s">
        <v>53</v>
      </c>
    </row>
    <row r="48" spans="1:11" ht="16" x14ac:dyDescent="0.35">
      <c r="A48" s="2" t="s">
        <v>50</v>
      </c>
      <c r="B48" s="2" t="s">
        <v>23</v>
      </c>
      <c r="C48" s="4">
        <f t="shared" ref="C48:H48" si="12">IF(C44=0,0,C47/C44)</f>
        <v>0.11292346298619825</v>
      </c>
      <c r="D48" s="4">
        <f t="shared" si="12"/>
        <v>0.125</v>
      </c>
      <c r="E48" s="4">
        <f t="shared" si="12"/>
        <v>0.1212121212121212</v>
      </c>
      <c r="F48" s="4">
        <f t="shared" si="12"/>
        <v>0.125</v>
      </c>
      <c r="G48" s="4">
        <f t="shared" si="12"/>
        <v>0.10780375842777219</v>
      </c>
      <c r="H48" s="4">
        <f t="shared" si="12"/>
        <v>0.13968253968253969</v>
      </c>
      <c r="I48" s="2" t="s">
        <v>17</v>
      </c>
      <c r="J48" s="2" t="s">
        <v>17</v>
      </c>
      <c r="K48" s="2" t="s">
        <v>24</v>
      </c>
    </row>
    <row r="49" spans="1:11" ht="16" x14ac:dyDescent="0.35">
      <c r="A49" s="2" t="s">
        <v>50</v>
      </c>
      <c r="B49" s="2" t="s">
        <v>25</v>
      </c>
      <c r="C49" s="3">
        <v>1.25</v>
      </c>
      <c r="D49" s="3">
        <v>1.4</v>
      </c>
      <c r="E49" s="3">
        <v>1.7</v>
      </c>
      <c r="F49" s="3">
        <v>1.7</v>
      </c>
      <c r="G49" s="3">
        <v>2.4</v>
      </c>
      <c r="H49" s="3">
        <v>2.85</v>
      </c>
      <c r="I49" s="2" t="s">
        <v>51</v>
      </c>
      <c r="J49" s="2" t="s">
        <v>14</v>
      </c>
      <c r="K49" s="2" t="s">
        <v>26</v>
      </c>
    </row>
    <row r="50" spans="1:11" ht="16" x14ac:dyDescent="0.35">
      <c r="A50" s="2" t="s">
        <v>50</v>
      </c>
      <c r="B50" s="2" t="s">
        <v>27</v>
      </c>
      <c r="C50" s="3">
        <v>0.15</v>
      </c>
      <c r="D50" s="3">
        <v>0.18</v>
      </c>
      <c r="E50" s="3">
        <v>0.22</v>
      </c>
      <c r="F50" s="3">
        <v>0.22</v>
      </c>
      <c r="G50" s="3">
        <v>0.3</v>
      </c>
      <c r="H50" s="3">
        <v>0.35</v>
      </c>
      <c r="I50" s="2" t="s">
        <v>51</v>
      </c>
      <c r="J50" s="2" t="s">
        <v>14</v>
      </c>
      <c r="K50" s="2" t="s">
        <v>28</v>
      </c>
    </row>
    <row r="51" spans="1:11" ht="16" x14ac:dyDescent="0.35">
      <c r="A51" s="2" t="s">
        <v>50</v>
      </c>
      <c r="B51" s="2" t="s">
        <v>29</v>
      </c>
      <c r="C51" s="3">
        <f t="shared" ref="C51:H51" si="13">C49-C50</f>
        <v>1.1000000000000001</v>
      </c>
      <c r="D51" s="3">
        <f t="shared" si="13"/>
        <v>1.22</v>
      </c>
      <c r="E51" s="3">
        <f t="shared" si="13"/>
        <v>1.48</v>
      </c>
      <c r="F51" s="3">
        <f t="shared" si="13"/>
        <v>1.48</v>
      </c>
      <c r="G51" s="3">
        <f t="shared" si="13"/>
        <v>2.1</v>
      </c>
      <c r="H51" s="3">
        <f t="shared" si="13"/>
        <v>2.5</v>
      </c>
      <c r="I51" s="2" t="s">
        <v>17</v>
      </c>
      <c r="J51" s="2" t="s">
        <v>17</v>
      </c>
      <c r="K51" s="2" t="s">
        <v>30</v>
      </c>
    </row>
    <row r="52" spans="1:11" ht="16" x14ac:dyDescent="0.35">
      <c r="A52" s="2" t="s">
        <v>50</v>
      </c>
      <c r="B52" s="2" t="s">
        <v>31</v>
      </c>
      <c r="C52" s="3">
        <v>10.199999999999999</v>
      </c>
      <c r="D52" s="3">
        <v>11.4</v>
      </c>
      <c r="E52" s="3">
        <v>12.8</v>
      </c>
      <c r="F52" s="3">
        <v>14.1</v>
      </c>
      <c r="G52" s="3">
        <v>16.5</v>
      </c>
      <c r="H52" s="3">
        <v>18.2</v>
      </c>
      <c r="I52" s="2" t="s">
        <v>51</v>
      </c>
      <c r="J52" s="2" t="s">
        <v>14</v>
      </c>
      <c r="K52" s="2" t="s">
        <v>32</v>
      </c>
    </row>
    <row r="53" spans="1:11" ht="16" x14ac:dyDescent="0.35">
      <c r="A53" s="2" t="s">
        <v>50</v>
      </c>
      <c r="B53" s="2" t="s">
        <v>33</v>
      </c>
      <c r="C53" s="3">
        <v>8.5</v>
      </c>
      <c r="D53" s="3">
        <v>9.1999999999999993</v>
      </c>
      <c r="E53" s="3">
        <v>10.4</v>
      </c>
      <c r="F53" s="3">
        <v>11.5</v>
      </c>
      <c r="G53" s="3">
        <v>13.2</v>
      </c>
      <c r="H53" s="3">
        <v>14.6</v>
      </c>
      <c r="I53" s="2" t="s">
        <v>51</v>
      </c>
      <c r="J53" s="2" t="s">
        <v>14</v>
      </c>
      <c r="K53" s="2" t="s">
        <v>34</v>
      </c>
    </row>
    <row r="54" spans="1:11" ht="16" x14ac:dyDescent="0.35">
      <c r="A54" s="2" t="s">
        <v>50</v>
      </c>
      <c r="B54" s="2" t="s">
        <v>35</v>
      </c>
      <c r="C54" s="5">
        <f t="shared" ref="C54:H54" si="14">IF(C53=0,0,C52/C53)</f>
        <v>1.2</v>
      </c>
      <c r="D54" s="5">
        <f t="shared" si="14"/>
        <v>1.2391304347826089</v>
      </c>
      <c r="E54" s="5">
        <f t="shared" si="14"/>
        <v>1.2307692307692308</v>
      </c>
      <c r="F54" s="5">
        <f t="shared" si="14"/>
        <v>1.2260869565217392</v>
      </c>
      <c r="G54" s="5">
        <f t="shared" si="14"/>
        <v>1.25</v>
      </c>
      <c r="H54" s="5">
        <f t="shared" si="14"/>
        <v>1.2465753424657533</v>
      </c>
      <c r="I54" s="2" t="s">
        <v>17</v>
      </c>
      <c r="J54" s="2" t="s">
        <v>17</v>
      </c>
      <c r="K54" s="2" t="s">
        <v>36</v>
      </c>
    </row>
    <row r="55" spans="1:11" ht="16" x14ac:dyDescent="0.35">
      <c r="A55" s="2" t="s">
        <v>50</v>
      </c>
      <c r="B55" s="2" t="s">
        <v>37</v>
      </c>
      <c r="C55" s="3">
        <v>5.0999999999999996</v>
      </c>
      <c r="D55" s="3">
        <v>5.4</v>
      </c>
      <c r="E55" s="3">
        <v>6.2</v>
      </c>
      <c r="F55" s="3">
        <v>6.8</v>
      </c>
      <c r="G55" s="3">
        <v>7.9</v>
      </c>
      <c r="H55" s="3">
        <v>8.6999999999999993</v>
      </c>
      <c r="I55" s="2" t="s">
        <v>51</v>
      </c>
      <c r="J55" s="2" t="s">
        <v>14</v>
      </c>
      <c r="K55" s="2" t="s">
        <v>38</v>
      </c>
    </row>
    <row r="56" spans="1:11" ht="16" x14ac:dyDescent="0.35">
      <c r="A56" s="2" t="s">
        <v>50</v>
      </c>
      <c r="B56" s="2" t="s">
        <v>39</v>
      </c>
      <c r="C56" s="3">
        <v>0.2</v>
      </c>
      <c r="D56" s="3">
        <v>0.22</v>
      </c>
      <c r="E56" s="3">
        <v>0.25</v>
      </c>
      <c r="F56" s="3">
        <v>0.28000000000000003</v>
      </c>
      <c r="G56" s="3">
        <v>0.63900000000000001</v>
      </c>
      <c r="H56" s="3">
        <v>0.36</v>
      </c>
      <c r="I56" s="2" t="s">
        <v>51</v>
      </c>
      <c r="J56" s="2" t="s">
        <v>14</v>
      </c>
      <c r="K56" s="2" t="s">
        <v>40</v>
      </c>
    </row>
    <row r="57" spans="1:11" ht="16" x14ac:dyDescent="0.35">
      <c r="A57" s="2" t="s">
        <v>50</v>
      </c>
      <c r="B57" s="2" t="s">
        <v>41</v>
      </c>
      <c r="C57" s="5">
        <f t="shared" ref="C57:H57" si="15">IF(C56=0,0,C46/C56)</f>
        <v>6.9999999999999991</v>
      </c>
      <c r="D57" s="5">
        <f t="shared" si="15"/>
        <v>7.0454545454545459</v>
      </c>
      <c r="E57" s="5">
        <f t="shared" si="15"/>
        <v>7.4</v>
      </c>
      <c r="F57" s="5">
        <f t="shared" si="15"/>
        <v>7.5</v>
      </c>
      <c r="G57" s="5">
        <f t="shared" si="15"/>
        <v>4.0688575899843507</v>
      </c>
      <c r="H57" s="5">
        <f t="shared" si="15"/>
        <v>8.6111111111111125</v>
      </c>
      <c r="I57" s="2" t="s">
        <v>17</v>
      </c>
      <c r="J57" s="2" t="s">
        <v>17</v>
      </c>
      <c r="K57" s="2" t="s">
        <v>42</v>
      </c>
    </row>
    <row r="58" spans="1:11" ht="16" x14ac:dyDescent="0.35">
      <c r="A58" s="2" t="s">
        <v>54</v>
      </c>
      <c r="B58" s="2" t="s">
        <v>12</v>
      </c>
      <c r="C58" s="3">
        <v>3.05</v>
      </c>
      <c r="D58" s="3">
        <v>3.5</v>
      </c>
      <c r="E58" s="3">
        <v>3.95</v>
      </c>
      <c r="F58" s="3">
        <v>4.3</v>
      </c>
      <c r="G58" s="3">
        <v>5.9020000000000001</v>
      </c>
      <c r="H58" s="3">
        <v>6.66</v>
      </c>
      <c r="I58" s="2" t="s">
        <v>55</v>
      </c>
      <c r="J58" s="2" t="s">
        <v>14</v>
      </c>
      <c r="K58" s="2" t="s">
        <v>15</v>
      </c>
    </row>
    <row r="59" spans="1:11" ht="16" x14ac:dyDescent="0.35">
      <c r="A59" s="2" t="s">
        <v>54</v>
      </c>
      <c r="B59" s="2" t="s">
        <v>16</v>
      </c>
      <c r="C59" s="4">
        <v>0</v>
      </c>
      <c r="D59" s="4">
        <f>IF(C58=0,0,(D58-C58)/C58)</f>
        <v>0.14754098360655746</v>
      </c>
      <c r="E59" s="4">
        <f>IF(D58=0,0,(E58-D58)/D58)</f>
        <v>0.12857142857142861</v>
      </c>
      <c r="F59" s="4">
        <f>IF(E58=0,0,(F58-E58)/E58)</f>
        <v>8.8607594936708764E-2</v>
      </c>
      <c r="G59" s="4">
        <f>IF(F58=0,0,(G58-F58)/F58)</f>
        <v>0.37255813953488381</v>
      </c>
      <c r="H59" s="4">
        <f>IF(G58=0,0,(H58-G58)/G58)</f>
        <v>0.12843104032531344</v>
      </c>
      <c r="I59" s="2" t="s">
        <v>17</v>
      </c>
      <c r="J59" s="2" t="s">
        <v>17</v>
      </c>
      <c r="K59" s="2" t="s">
        <v>18</v>
      </c>
    </row>
    <row r="60" spans="1:11" ht="16" x14ac:dyDescent="0.35">
      <c r="A60" s="2" t="s">
        <v>54</v>
      </c>
      <c r="B60" s="2" t="s">
        <v>19</v>
      </c>
      <c r="C60" s="3">
        <v>0.75</v>
      </c>
      <c r="D60" s="3">
        <v>0.9</v>
      </c>
      <c r="E60" s="3">
        <v>1.05</v>
      </c>
      <c r="F60" s="3">
        <v>1.1499999999999999</v>
      </c>
      <c r="G60" s="3">
        <v>1.55</v>
      </c>
      <c r="H60" s="3">
        <v>1.85</v>
      </c>
      <c r="I60" s="2" t="s">
        <v>55</v>
      </c>
      <c r="J60" s="2" t="s">
        <v>14</v>
      </c>
      <c r="K60" s="2" t="s">
        <v>45</v>
      </c>
    </row>
    <row r="61" spans="1:11" ht="16" x14ac:dyDescent="0.35">
      <c r="A61" s="2" t="s">
        <v>54</v>
      </c>
      <c r="B61" s="2" t="s">
        <v>21</v>
      </c>
      <c r="C61" s="3">
        <v>0.55000000000000004</v>
      </c>
      <c r="D61" s="3">
        <v>0.65</v>
      </c>
      <c r="E61" s="3">
        <v>0.75</v>
      </c>
      <c r="F61" s="3">
        <v>0.82</v>
      </c>
      <c r="G61" s="3">
        <v>1.054</v>
      </c>
      <c r="H61" s="3">
        <v>1.3</v>
      </c>
      <c r="I61" s="2" t="s">
        <v>55</v>
      </c>
      <c r="J61" s="2" t="s">
        <v>14</v>
      </c>
      <c r="K61" s="2" t="s">
        <v>49</v>
      </c>
    </row>
    <row r="62" spans="1:11" ht="16" x14ac:dyDescent="0.35">
      <c r="A62" s="2" t="s">
        <v>54</v>
      </c>
      <c r="B62" s="2" t="s">
        <v>23</v>
      </c>
      <c r="C62" s="4">
        <f t="shared" ref="C62:H62" si="16">IF(C58=0,0,C61/C58)</f>
        <v>0.18032786885245905</v>
      </c>
      <c r="D62" s="4">
        <f t="shared" si="16"/>
        <v>0.18571428571428572</v>
      </c>
      <c r="E62" s="4">
        <f t="shared" si="16"/>
        <v>0.18987341772151897</v>
      </c>
      <c r="F62" s="4">
        <f t="shared" si="16"/>
        <v>0.19069767441860463</v>
      </c>
      <c r="G62" s="4">
        <f t="shared" si="16"/>
        <v>0.17858353100643851</v>
      </c>
      <c r="H62" s="4">
        <f t="shared" si="16"/>
        <v>0.19519519519519521</v>
      </c>
      <c r="I62" s="2" t="s">
        <v>17</v>
      </c>
      <c r="J62" s="2" t="s">
        <v>17</v>
      </c>
      <c r="K62" s="2" t="s">
        <v>24</v>
      </c>
    </row>
    <row r="63" spans="1:11" ht="16" x14ac:dyDescent="0.35">
      <c r="A63" s="2" t="s">
        <v>54</v>
      </c>
      <c r="B63" s="2" t="s">
        <v>25</v>
      </c>
      <c r="C63" s="3">
        <v>0.7</v>
      </c>
      <c r="D63" s="3">
        <v>0.82</v>
      </c>
      <c r="E63" s="3">
        <v>0.95</v>
      </c>
      <c r="F63" s="3">
        <v>1.05</v>
      </c>
      <c r="G63" s="3">
        <v>1.4</v>
      </c>
      <c r="H63" s="3">
        <v>1.65</v>
      </c>
      <c r="I63" s="2" t="s">
        <v>55</v>
      </c>
      <c r="J63" s="2" t="s">
        <v>14</v>
      </c>
      <c r="K63" s="2" t="s">
        <v>26</v>
      </c>
    </row>
    <row r="64" spans="1:11" ht="16" x14ac:dyDescent="0.35">
      <c r="A64" s="2" t="s">
        <v>54</v>
      </c>
      <c r="B64" s="2" t="s">
        <v>27</v>
      </c>
      <c r="C64" s="3">
        <v>0.05</v>
      </c>
      <c r="D64" s="3">
        <v>0.06</v>
      </c>
      <c r="E64" s="3">
        <v>7.0000000000000007E-2</v>
      </c>
      <c r="F64" s="3">
        <v>0.08</v>
      </c>
      <c r="G64" s="3">
        <v>0.11</v>
      </c>
      <c r="H64" s="3">
        <v>0.13</v>
      </c>
      <c r="I64" s="2" t="s">
        <v>55</v>
      </c>
      <c r="J64" s="2" t="s">
        <v>14</v>
      </c>
      <c r="K64" s="2" t="s">
        <v>28</v>
      </c>
    </row>
    <row r="65" spans="1:11" ht="16" x14ac:dyDescent="0.35">
      <c r="A65" s="2" t="s">
        <v>54</v>
      </c>
      <c r="B65" s="2" t="s">
        <v>29</v>
      </c>
      <c r="C65" s="3">
        <f t="shared" ref="C65:H65" si="17">C63-C64</f>
        <v>0.64999999999999991</v>
      </c>
      <c r="D65" s="3">
        <f t="shared" si="17"/>
        <v>0.76</v>
      </c>
      <c r="E65" s="3">
        <f t="shared" si="17"/>
        <v>0.87999999999999989</v>
      </c>
      <c r="F65" s="3">
        <f t="shared" si="17"/>
        <v>0.97000000000000008</v>
      </c>
      <c r="G65" s="3">
        <f t="shared" si="17"/>
        <v>1.2899999999999998</v>
      </c>
      <c r="H65" s="3">
        <f t="shared" si="17"/>
        <v>1.52</v>
      </c>
      <c r="I65" s="2" t="s">
        <v>17</v>
      </c>
      <c r="J65" s="2" t="s">
        <v>17</v>
      </c>
      <c r="K65" s="2" t="s">
        <v>30</v>
      </c>
    </row>
    <row r="66" spans="1:11" ht="16" x14ac:dyDescent="0.35">
      <c r="A66" s="2" t="s">
        <v>54</v>
      </c>
      <c r="B66" s="2" t="s">
        <v>31</v>
      </c>
      <c r="C66" s="3">
        <v>5.2</v>
      </c>
      <c r="D66" s="3">
        <v>5.8</v>
      </c>
      <c r="E66" s="3">
        <v>6.4</v>
      </c>
      <c r="F66" s="3">
        <v>7.1</v>
      </c>
      <c r="G66" s="3">
        <v>8.9</v>
      </c>
      <c r="H66" s="3">
        <v>9.8000000000000007</v>
      </c>
      <c r="I66" s="2" t="s">
        <v>55</v>
      </c>
      <c r="J66" s="2" t="s">
        <v>14</v>
      </c>
      <c r="K66" s="2" t="s">
        <v>32</v>
      </c>
    </row>
    <row r="67" spans="1:11" ht="16" x14ac:dyDescent="0.35">
      <c r="A67" s="2" t="s">
        <v>54</v>
      </c>
      <c r="B67" s="2" t="s">
        <v>33</v>
      </c>
      <c r="C67" s="3">
        <v>3.8</v>
      </c>
      <c r="D67" s="3">
        <v>4.2</v>
      </c>
      <c r="E67" s="3">
        <v>4.5999999999999996</v>
      </c>
      <c r="F67" s="3">
        <v>5.0999999999999996</v>
      </c>
      <c r="G67" s="3">
        <v>6.3</v>
      </c>
      <c r="H67" s="3">
        <v>6.9</v>
      </c>
      <c r="I67" s="2" t="s">
        <v>55</v>
      </c>
      <c r="J67" s="2" t="s">
        <v>14</v>
      </c>
      <c r="K67" s="2" t="s">
        <v>34</v>
      </c>
    </row>
    <row r="68" spans="1:11" ht="16" x14ac:dyDescent="0.35">
      <c r="A68" s="2" t="s">
        <v>54</v>
      </c>
      <c r="B68" s="2" t="s">
        <v>35</v>
      </c>
      <c r="C68" s="5">
        <f t="shared" ref="C68:H68" si="18">IF(C67=0,0,C66/C67)</f>
        <v>1.368421052631579</v>
      </c>
      <c r="D68" s="5">
        <f t="shared" si="18"/>
        <v>1.3809523809523809</v>
      </c>
      <c r="E68" s="5">
        <f t="shared" si="18"/>
        <v>1.3913043478260871</v>
      </c>
      <c r="F68" s="5">
        <f t="shared" si="18"/>
        <v>1.392156862745098</v>
      </c>
      <c r="G68" s="5">
        <f t="shared" si="18"/>
        <v>1.4126984126984128</v>
      </c>
      <c r="H68" s="5">
        <f t="shared" si="18"/>
        <v>1.4202898550724639</v>
      </c>
      <c r="I68" s="2" t="s">
        <v>17</v>
      </c>
      <c r="J68" s="2" t="s">
        <v>17</v>
      </c>
      <c r="K68" s="2" t="s">
        <v>36</v>
      </c>
    </row>
    <row r="69" spans="1:11" ht="16" x14ac:dyDescent="0.35">
      <c r="A69" s="2" t="s">
        <v>54</v>
      </c>
      <c r="B69" s="2" t="s">
        <v>37</v>
      </c>
      <c r="C69" s="3">
        <v>2.8</v>
      </c>
      <c r="D69" s="3">
        <v>3.1</v>
      </c>
      <c r="E69" s="3">
        <v>3.4</v>
      </c>
      <c r="F69" s="3">
        <v>3.7</v>
      </c>
      <c r="G69" s="3">
        <v>4.5</v>
      </c>
      <c r="H69" s="3">
        <v>4.9000000000000004</v>
      </c>
      <c r="I69" s="2" t="s">
        <v>55</v>
      </c>
      <c r="J69" s="2" t="s">
        <v>14</v>
      </c>
      <c r="K69" s="2" t="s">
        <v>38</v>
      </c>
    </row>
    <row r="70" spans="1:11" ht="16" x14ac:dyDescent="0.35">
      <c r="A70" s="2" t="s">
        <v>54</v>
      </c>
      <c r="B70" s="2" t="s">
        <v>39</v>
      </c>
      <c r="C70" s="3">
        <v>0.1</v>
      </c>
      <c r="D70" s="3">
        <v>0.11</v>
      </c>
      <c r="E70" s="3">
        <v>0.12</v>
      </c>
      <c r="F70" s="3">
        <v>0.13</v>
      </c>
      <c r="G70" s="3">
        <v>0.29699999999999999</v>
      </c>
      <c r="H70" s="3">
        <v>0.17</v>
      </c>
      <c r="I70" s="2" t="s">
        <v>55</v>
      </c>
      <c r="J70" s="2" t="s">
        <v>14</v>
      </c>
      <c r="K70" s="2" t="s">
        <v>40</v>
      </c>
    </row>
    <row r="71" spans="1:11" ht="16" x14ac:dyDescent="0.35">
      <c r="A71" s="2" t="s">
        <v>54</v>
      </c>
      <c r="B71" s="2" t="s">
        <v>41</v>
      </c>
      <c r="C71" s="5">
        <f t="shared" ref="C71:H71" si="19">IF(C70=0,0,C60/C70)</f>
        <v>7.5</v>
      </c>
      <c r="D71" s="5">
        <f t="shared" si="19"/>
        <v>8.1818181818181817</v>
      </c>
      <c r="E71" s="5">
        <f t="shared" si="19"/>
        <v>8.75</v>
      </c>
      <c r="F71" s="5">
        <f t="shared" si="19"/>
        <v>8.8461538461538449</v>
      </c>
      <c r="G71" s="5">
        <f t="shared" si="19"/>
        <v>5.2188552188552189</v>
      </c>
      <c r="H71" s="5">
        <f t="shared" si="19"/>
        <v>10.882352941176471</v>
      </c>
      <c r="I71" s="2" t="s">
        <v>17</v>
      </c>
      <c r="J71" s="2" t="s">
        <v>17</v>
      </c>
      <c r="K71" s="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D7" sqref="D7"/>
    </sheetView>
  </sheetViews>
  <sheetFormatPr defaultRowHeight="14.5" x14ac:dyDescent="0.35"/>
  <cols>
    <col min="1" max="1" width="12" customWidth="1"/>
    <col min="2" max="2" width="17" customWidth="1"/>
    <col min="3" max="3" width="16" customWidth="1"/>
    <col min="4" max="4" width="28" customWidth="1"/>
    <col min="5" max="6" width="33" customWidth="1"/>
    <col min="7" max="7" width="35" customWidth="1"/>
    <col min="8" max="8" width="17" customWidth="1"/>
    <col min="9" max="9" width="44" customWidth="1"/>
    <col min="10" max="10" width="27" customWidth="1"/>
    <col min="11" max="11" width="36" customWidth="1"/>
  </cols>
  <sheetData>
    <row r="1" spans="1:11" ht="16.5" x14ac:dyDescent="0.3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spans="1:11" ht="16" x14ac:dyDescent="0.35">
      <c r="A2" s="2" t="s">
        <v>11</v>
      </c>
      <c r="B2" s="2" t="s">
        <v>66</v>
      </c>
      <c r="C2" s="4">
        <v>0</v>
      </c>
      <c r="D2" s="3">
        <f>Financial_Metrics!G2*(1+C2)</f>
        <v>9.7080000000000002</v>
      </c>
      <c r="E2" s="3">
        <f>Financial_Metrics!G4*(1+H2*C2)</f>
        <v>2.234</v>
      </c>
      <c r="F2" s="5">
        <f>IF(Financial_Metrics!G14=0,0,E2/Financial_Metrics!G14)</f>
        <v>8.592307692307692</v>
      </c>
      <c r="G2" s="6" t="s">
        <v>67</v>
      </c>
      <c r="H2" s="7">
        <v>2.5</v>
      </c>
      <c r="I2" s="2" t="s">
        <v>68</v>
      </c>
      <c r="J2" s="2" t="s">
        <v>69</v>
      </c>
      <c r="K2" s="2" t="s">
        <v>70</v>
      </c>
    </row>
    <row r="3" spans="1:11" ht="16" x14ac:dyDescent="0.35">
      <c r="A3" s="2" t="s">
        <v>11</v>
      </c>
      <c r="B3" s="2" t="s">
        <v>71</v>
      </c>
      <c r="C3" s="4">
        <v>-0.05</v>
      </c>
      <c r="D3" s="3">
        <f>Financial_Metrics!G2*(1+C3)</f>
        <v>9.2225999999999999</v>
      </c>
      <c r="E3" s="3">
        <f>Financial_Metrics!G4*(1+H3*C3)</f>
        <v>1.95475</v>
      </c>
      <c r="F3" s="5">
        <f>IF(Financial_Metrics!G14=0,0,E3/Financial_Metrics!G14)</f>
        <v>7.5182692307692305</v>
      </c>
      <c r="G3" s="6" t="s">
        <v>67</v>
      </c>
      <c r="H3" s="7">
        <v>2.5</v>
      </c>
      <c r="I3" s="2" t="s">
        <v>72</v>
      </c>
      <c r="J3" s="2" t="s">
        <v>69</v>
      </c>
      <c r="K3" s="2" t="s">
        <v>70</v>
      </c>
    </row>
    <row r="4" spans="1:11" ht="16" x14ac:dyDescent="0.35">
      <c r="A4" s="2" t="s">
        <v>11</v>
      </c>
      <c r="B4" s="2" t="s">
        <v>73</v>
      </c>
      <c r="C4" s="4">
        <v>-0.1</v>
      </c>
      <c r="D4" s="3">
        <f>Financial_Metrics!G2*(1+C4)</f>
        <v>8.7371999999999996</v>
      </c>
      <c r="E4" s="3">
        <f>Financial_Metrics!G4*(1+H4*C4)</f>
        <v>1.6755</v>
      </c>
      <c r="F4" s="5">
        <f>IF(Financial_Metrics!G14=0,0,E4/Financial_Metrics!G14)</f>
        <v>6.444230769230769</v>
      </c>
      <c r="G4" s="6" t="s">
        <v>67</v>
      </c>
      <c r="H4" s="7">
        <v>2.5</v>
      </c>
      <c r="I4" s="2" t="s">
        <v>74</v>
      </c>
      <c r="J4" s="2" t="s">
        <v>69</v>
      </c>
      <c r="K4" s="2" t="s">
        <v>70</v>
      </c>
    </row>
    <row r="5" spans="1:11" ht="16" x14ac:dyDescent="0.35">
      <c r="A5" s="2" t="s">
        <v>11</v>
      </c>
      <c r="B5" s="2" t="s">
        <v>75</v>
      </c>
      <c r="C5" s="4">
        <v>-0.25</v>
      </c>
      <c r="D5" s="3">
        <f>Financial_Metrics!G2*(1+C5)</f>
        <v>7.2810000000000006</v>
      </c>
      <c r="E5" s="3">
        <f>Financial_Metrics!G4*(1+H5*C5)</f>
        <v>0.83774999999999999</v>
      </c>
      <c r="F5" s="5">
        <f>IF(Financial_Metrics!G14=0,0,E5/Financial_Metrics!G14)</f>
        <v>3.2221153846153845</v>
      </c>
      <c r="G5" s="6" t="s">
        <v>76</v>
      </c>
      <c r="H5" s="7">
        <v>2.5</v>
      </c>
      <c r="I5" s="2" t="s">
        <v>77</v>
      </c>
      <c r="J5" s="2" t="s">
        <v>69</v>
      </c>
      <c r="K5" s="2" t="s">
        <v>70</v>
      </c>
    </row>
    <row r="6" spans="1:11" ht="16" x14ac:dyDescent="0.35">
      <c r="A6" s="2" t="s">
        <v>43</v>
      </c>
      <c r="B6" s="2" t="s">
        <v>66</v>
      </c>
      <c r="C6" s="4">
        <v>0</v>
      </c>
      <c r="D6" s="3">
        <f>Financial_Metrics!G16*(1+C6)</f>
        <v>17.181000000000001</v>
      </c>
      <c r="E6" s="3">
        <f>Financial_Metrics!G18*(1+H6*C6)</f>
        <v>4.3440000000000003</v>
      </c>
      <c r="F6" s="5">
        <f>IF(Financial_Metrics!G28=0,0,E6/Financial_Metrics!G28)</f>
        <v>5.3300613496932518</v>
      </c>
      <c r="G6" s="6" t="s">
        <v>67</v>
      </c>
      <c r="H6" s="7">
        <v>2.5</v>
      </c>
      <c r="I6" s="2" t="s">
        <v>68</v>
      </c>
      <c r="J6" s="2" t="s">
        <v>69</v>
      </c>
      <c r="K6" s="2" t="s">
        <v>70</v>
      </c>
    </row>
    <row r="7" spans="1:11" ht="16" x14ac:dyDescent="0.35">
      <c r="A7" s="2" t="s">
        <v>43</v>
      </c>
      <c r="B7" s="2" t="s">
        <v>71</v>
      </c>
      <c r="C7" s="4">
        <v>-0.05</v>
      </c>
      <c r="D7" s="3">
        <f>Financial_Metrics!G16*(1+C7)</f>
        <v>16.321950000000001</v>
      </c>
      <c r="E7" s="3">
        <f>Financial_Metrics!G18*(1+H7*C7)</f>
        <v>3.8010000000000002</v>
      </c>
      <c r="F7" s="5">
        <f>IF(Financial_Metrics!G28=0,0,E7/Financial_Metrics!G28)</f>
        <v>4.6638036809815953</v>
      </c>
      <c r="G7" s="6" t="s">
        <v>76</v>
      </c>
      <c r="H7" s="7">
        <v>2.5</v>
      </c>
      <c r="I7" s="2" t="s">
        <v>72</v>
      </c>
      <c r="J7" s="2" t="s">
        <v>69</v>
      </c>
      <c r="K7" s="2" t="s">
        <v>70</v>
      </c>
    </row>
    <row r="8" spans="1:11" ht="16" x14ac:dyDescent="0.35">
      <c r="A8" s="2" t="s">
        <v>43</v>
      </c>
      <c r="B8" s="2" t="s">
        <v>73</v>
      </c>
      <c r="C8" s="4">
        <v>-0.1</v>
      </c>
      <c r="D8" s="3">
        <f>Financial_Metrics!G16*(1+C8)</f>
        <v>15.462900000000001</v>
      </c>
      <c r="E8" s="3">
        <f>Financial_Metrics!G18*(1+H8*C8)</f>
        <v>3.258</v>
      </c>
      <c r="F8" s="5">
        <f>IF(Financial_Metrics!G28=0,0,E8/Financial_Metrics!G28)</f>
        <v>3.9975460122699391</v>
      </c>
      <c r="G8" s="6" t="s">
        <v>76</v>
      </c>
      <c r="H8" s="7">
        <v>2.5</v>
      </c>
      <c r="I8" s="2" t="s">
        <v>74</v>
      </c>
      <c r="J8" s="2" t="s">
        <v>69</v>
      </c>
      <c r="K8" s="2" t="s">
        <v>70</v>
      </c>
    </row>
    <row r="9" spans="1:11" ht="16" x14ac:dyDescent="0.35">
      <c r="A9" s="2" t="s">
        <v>43</v>
      </c>
      <c r="B9" s="2" t="s">
        <v>75</v>
      </c>
      <c r="C9" s="4">
        <v>-0.25</v>
      </c>
      <c r="D9" s="3">
        <f>Financial_Metrics!G16*(1+C9)</f>
        <v>12.885750000000002</v>
      </c>
      <c r="E9" s="3">
        <f>Financial_Metrics!G18*(1+H9*C9)</f>
        <v>1.629</v>
      </c>
      <c r="F9" s="5">
        <f>IF(Financial_Metrics!G28=0,0,E9/Financial_Metrics!G28)</f>
        <v>1.9987730061349696</v>
      </c>
      <c r="G9" s="6" t="s">
        <v>78</v>
      </c>
      <c r="H9" s="7">
        <v>2.5</v>
      </c>
      <c r="I9" s="2" t="s">
        <v>77</v>
      </c>
      <c r="J9" s="2" t="s">
        <v>69</v>
      </c>
      <c r="K9" s="2" t="s">
        <v>70</v>
      </c>
    </row>
    <row r="10" spans="1:11" ht="16" x14ac:dyDescent="0.35">
      <c r="A10" s="2" t="s">
        <v>47</v>
      </c>
      <c r="B10" s="2" t="s">
        <v>66</v>
      </c>
      <c r="C10" s="4">
        <v>0</v>
      </c>
      <c r="D10" s="3">
        <f>Financial_Metrics!G30*(1+C10)</f>
        <v>26.981000000000002</v>
      </c>
      <c r="E10" s="3">
        <f>Financial_Metrics!G32*(1+H10*C10)</f>
        <v>6.2229999999999999</v>
      </c>
      <c r="F10" s="5">
        <f>IF(Financial_Metrics!G42=0,0,E10/Financial_Metrics!G42)</f>
        <v>6.4822916666666668</v>
      </c>
      <c r="G10" s="6" t="s">
        <v>67</v>
      </c>
      <c r="H10" s="7">
        <v>2.5</v>
      </c>
      <c r="I10" s="2" t="s">
        <v>68</v>
      </c>
      <c r="J10" s="2" t="s">
        <v>69</v>
      </c>
      <c r="K10" s="2" t="s">
        <v>70</v>
      </c>
    </row>
    <row r="11" spans="1:11" ht="16" x14ac:dyDescent="0.35">
      <c r="A11" s="2" t="s">
        <v>47</v>
      </c>
      <c r="B11" s="2" t="s">
        <v>71</v>
      </c>
      <c r="C11" s="4">
        <v>-0.05</v>
      </c>
      <c r="D11" s="3">
        <f>Financial_Metrics!G30*(1+C11)</f>
        <v>25.63195</v>
      </c>
      <c r="E11" s="3">
        <f>Financial_Metrics!G32*(1+H11*C11)</f>
        <v>5.445125</v>
      </c>
      <c r="F11" s="5">
        <f>IF(Financial_Metrics!G42=0,0,E11/Financial_Metrics!G42)</f>
        <v>5.6720052083333332</v>
      </c>
      <c r="G11" s="6" t="s">
        <v>67</v>
      </c>
      <c r="H11" s="7">
        <v>2.5</v>
      </c>
      <c r="I11" s="2" t="s">
        <v>72</v>
      </c>
      <c r="J11" s="2" t="s">
        <v>69</v>
      </c>
      <c r="K11" s="2" t="s">
        <v>70</v>
      </c>
    </row>
    <row r="12" spans="1:11" ht="16" x14ac:dyDescent="0.35">
      <c r="A12" s="2" t="s">
        <v>47</v>
      </c>
      <c r="B12" s="2" t="s">
        <v>73</v>
      </c>
      <c r="C12" s="4">
        <v>-0.1</v>
      </c>
      <c r="D12" s="3">
        <f>Financial_Metrics!G30*(1+C12)</f>
        <v>24.282900000000001</v>
      </c>
      <c r="E12" s="3">
        <f>Financial_Metrics!G32*(1+H12*C12)</f>
        <v>4.6672500000000001</v>
      </c>
      <c r="F12" s="5">
        <f>IF(Financial_Metrics!G42=0,0,E12/Financial_Metrics!G42)</f>
        <v>4.8617187500000005</v>
      </c>
      <c r="G12" s="6" t="s">
        <v>76</v>
      </c>
      <c r="H12" s="7">
        <v>2.5</v>
      </c>
      <c r="I12" s="2" t="s">
        <v>74</v>
      </c>
      <c r="J12" s="2" t="s">
        <v>69</v>
      </c>
      <c r="K12" s="2" t="s">
        <v>70</v>
      </c>
    </row>
    <row r="13" spans="1:11" ht="16" x14ac:dyDescent="0.35">
      <c r="A13" s="2" t="s">
        <v>47</v>
      </c>
      <c r="B13" s="2" t="s">
        <v>75</v>
      </c>
      <c r="C13" s="4">
        <v>-0.25</v>
      </c>
      <c r="D13" s="3">
        <f>Financial_Metrics!G30*(1+C13)</f>
        <v>20.235750000000003</v>
      </c>
      <c r="E13" s="3">
        <f>Financial_Metrics!G32*(1+H13*C13)</f>
        <v>2.3336250000000001</v>
      </c>
      <c r="F13" s="5">
        <f>IF(Financial_Metrics!G42=0,0,E13/Financial_Metrics!G42)</f>
        <v>2.4308593750000003</v>
      </c>
      <c r="G13" s="6" t="s">
        <v>78</v>
      </c>
      <c r="H13" s="7">
        <v>2.5</v>
      </c>
      <c r="I13" s="2" t="s">
        <v>77</v>
      </c>
      <c r="J13" s="2" t="s">
        <v>69</v>
      </c>
      <c r="K13" s="2" t="s">
        <v>70</v>
      </c>
    </row>
    <row r="14" spans="1:11" ht="16" x14ac:dyDescent="0.35">
      <c r="A14" s="2" t="s">
        <v>50</v>
      </c>
      <c r="B14" s="2" t="s">
        <v>66</v>
      </c>
      <c r="C14" s="4">
        <v>0</v>
      </c>
      <c r="D14" s="3">
        <f>Financial_Metrics!G44*(1+C14)</f>
        <v>13.942</v>
      </c>
      <c r="E14" s="3">
        <f>Financial_Metrics!G46*(1+H14*C14)</f>
        <v>2.6</v>
      </c>
      <c r="F14" s="5">
        <f>IF(Financial_Metrics!G56=0,0,E14/Financial_Metrics!G56)</f>
        <v>4.0688575899843507</v>
      </c>
      <c r="G14" s="6" t="s">
        <v>76</v>
      </c>
      <c r="H14" s="7">
        <v>2.5</v>
      </c>
      <c r="I14" s="2" t="s">
        <v>68</v>
      </c>
      <c r="J14" s="2" t="s">
        <v>69</v>
      </c>
      <c r="K14" s="2" t="s">
        <v>70</v>
      </c>
    </row>
    <row r="15" spans="1:11" ht="16" x14ac:dyDescent="0.35">
      <c r="A15" s="2" t="s">
        <v>50</v>
      </c>
      <c r="B15" s="2" t="s">
        <v>71</v>
      </c>
      <c r="C15" s="4">
        <v>-0.05</v>
      </c>
      <c r="D15" s="3">
        <f>Financial_Metrics!G44*(1+C15)</f>
        <v>13.244899999999999</v>
      </c>
      <c r="E15" s="3">
        <f>Financial_Metrics!G46*(1+H15*C15)</f>
        <v>2.2749999999999999</v>
      </c>
      <c r="F15" s="5">
        <f>IF(Financial_Metrics!G56=0,0,E15/Financial_Metrics!G56)</f>
        <v>3.5602503912363064</v>
      </c>
      <c r="G15" s="6" t="s">
        <v>76</v>
      </c>
      <c r="H15" s="7">
        <v>2.5</v>
      </c>
      <c r="I15" s="2" t="s">
        <v>72</v>
      </c>
      <c r="J15" s="2" t="s">
        <v>69</v>
      </c>
      <c r="K15" s="2" t="s">
        <v>70</v>
      </c>
    </row>
    <row r="16" spans="1:11" ht="16" x14ac:dyDescent="0.35">
      <c r="A16" s="2" t="s">
        <v>50</v>
      </c>
      <c r="B16" s="2" t="s">
        <v>73</v>
      </c>
      <c r="C16" s="4">
        <v>-0.1</v>
      </c>
      <c r="D16" s="3">
        <f>Financial_Metrics!G44*(1+C16)</f>
        <v>12.547800000000001</v>
      </c>
      <c r="E16" s="3">
        <f>Financial_Metrics!G46*(1+H16*C16)</f>
        <v>1.9500000000000002</v>
      </c>
      <c r="F16" s="5">
        <f>IF(Financial_Metrics!G56=0,0,E16/Financial_Metrics!G56)</f>
        <v>3.051643192488263</v>
      </c>
      <c r="G16" s="6" t="s">
        <v>76</v>
      </c>
      <c r="H16" s="7">
        <v>2.5</v>
      </c>
      <c r="I16" s="2" t="s">
        <v>74</v>
      </c>
      <c r="J16" s="2" t="s">
        <v>69</v>
      </c>
      <c r="K16" s="2" t="s">
        <v>70</v>
      </c>
    </row>
    <row r="17" spans="1:11" ht="16" x14ac:dyDescent="0.35">
      <c r="A17" s="2" t="s">
        <v>50</v>
      </c>
      <c r="B17" s="2" t="s">
        <v>75</v>
      </c>
      <c r="C17" s="4">
        <v>-0.25</v>
      </c>
      <c r="D17" s="3">
        <f>Financial_Metrics!G44*(1+C17)</f>
        <v>10.4565</v>
      </c>
      <c r="E17" s="3">
        <f>Financial_Metrics!G46*(1+H17*C17)</f>
        <v>0.97500000000000009</v>
      </c>
      <c r="F17" s="5">
        <f>IF(Financial_Metrics!G56=0,0,E17/Financial_Metrics!G56)</f>
        <v>1.5258215962441315</v>
      </c>
      <c r="G17" s="6" t="s">
        <v>78</v>
      </c>
      <c r="H17" s="7">
        <v>2.5</v>
      </c>
      <c r="I17" s="2" t="s">
        <v>77</v>
      </c>
      <c r="J17" s="2" t="s">
        <v>69</v>
      </c>
      <c r="K17" s="2" t="s">
        <v>70</v>
      </c>
    </row>
    <row r="18" spans="1:11" ht="16" x14ac:dyDescent="0.35">
      <c r="A18" s="2" t="s">
        <v>54</v>
      </c>
      <c r="B18" s="2" t="s">
        <v>66</v>
      </c>
      <c r="C18" s="4">
        <v>0</v>
      </c>
      <c r="D18" s="3">
        <f>Financial_Metrics!G58*(1+C18)</f>
        <v>5.9020000000000001</v>
      </c>
      <c r="E18" s="3">
        <f>Financial_Metrics!G60*(1+H18*C18)</f>
        <v>1.55</v>
      </c>
      <c r="F18" s="5">
        <f>IF(Financial_Metrics!G70=0,0,E18/Financial_Metrics!G70)</f>
        <v>5.2188552188552189</v>
      </c>
      <c r="G18" s="6" t="s">
        <v>67</v>
      </c>
      <c r="H18" s="7">
        <v>2.5</v>
      </c>
      <c r="I18" s="2" t="s">
        <v>68</v>
      </c>
      <c r="J18" s="2" t="s">
        <v>69</v>
      </c>
      <c r="K18" s="2" t="s">
        <v>70</v>
      </c>
    </row>
    <row r="19" spans="1:11" ht="16" x14ac:dyDescent="0.35">
      <c r="A19" s="2" t="s">
        <v>54</v>
      </c>
      <c r="B19" s="2" t="s">
        <v>71</v>
      </c>
      <c r="C19" s="4">
        <v>-0.05</v>
      </c>
      <c r="D19" s="3">
        <f>Financial_Metrics!G58*(1+C19)</f>
        <v>5.6068999999999996</v>
      </c>
      <c r="E19" s="3">
        <f>Financial_Metrics!G60*(1+H19*C19)</f>
        <v>1.35625</v>
      </c>
      <c r="F19" s="5">
        <f>IF(Financial_Metrics!G70=0,0,E19/Financial_Metrics!G70)</f>
        <v>4.5664983164983166</v>
      </c>
      <c r="G19" s="6" t="s">
        <v>76</v>
      </c>
      <c r="H19" s="7">
        <v>2.5</v>
      </c>
      <c r="I19" s="2" t="s">
        <v>72</v>
      </c>
      <c r="J19" s="2" t="s">
        <v>69</v>
      </c>
      <c r="K19" s="2" t="s">
        <v>70</v>
      </c>
    </row>
    <row r="20" spans="1:11" ht="16" x14ac:dyDescent="0.35">
      <c r="A20" s="2" t="s">
        <v>54</v>
      </c>
      <c r="B20" s="2" t="s">
        <v>73</v>
      </c>
      <c r="C20" s="4">
        <v>-0.1</v>
      </c>
      <c r="D20" s="3">
        <f>Financial_Metrics!G58*(1+C20)</f>
        <v>5.3117999999999999</v>
      </c>
      <c r="E20" s="3">
        <f>Financial_Metrics!G60*(1+H20*C20)</f>
        <v>1.1625000000000001</v>
      </c>
      <c r="F20" s="5">
        <f>IF(Financial_Metrics!G70=0,0,E20/Financial_Metrics!G70)</f>
        <v>3.9141414141414148</v>
      </c>
      <c r="G20" s="6" t="s">
        <v>76</v>
      </c>
      <c r="H20" s="7">
        <v>2.5</v>
      </c>
      <c r="I20" s="2" t="s">
        <v>74</v>
      </c>
      <c r="J20" s="2" t="s">
        <v>69</v>
      </c>
      <c r="K20" s="2" t="s">
        <v>70</v>
      </c>
    </row>
    <row r="21" spans="1:11" ht="16" x14ac:dyDescent="0.35">
      <c r="A21" s="2" t="s">
        <v>54</v>
      </c>
      <c r="B21" s="2" t="s">
        <v>75</v>
      </c>
      <c r="C21" s="4">
        <v>-0.25</v>
      </c>
      <c r="D21" s="3">
        <f>Financial_Metrics!G58*(1+C21)</f>
        <v>4.4264999999999999</v>
      </c>
      <c r="E21" s="3">
        <f>Financial_Metrics!G60*(1+H21*C21)</f>
        <v>0.58125000000000004</v>
      </c>
      <c r="F21" s="5">
        <f>IF(Financial_Metrics!G70=0,0,E21/Financial_Metrics!G70)</f>
        <v>1.9570707070707074</v>
      </c>
      <c r="G21" s="6" t="s">
        <v>78</v>
      </c>
      <c r="H21" s="7">
        <v>2.5</v>
      </c>
      <c r="I21" s="2" t="s">
        <v>77</v>
      </c>
      <c r="J21" s="2" t="s">
        <v>69</v>
      </c>
      <c r="K21" s="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opLeftCell="F1" workbookViewId="0">
      <selection activeCell="E10" sqref="E10"/>
    </sheetView>
  </sheetViews>
  <sheetFormatPr defaultRowHeight="14.5" x14ac:dyDescent="0.35"/>
  <cols>
    <col min="1" max="2" width="12" customWidth="1"/>
    <col min="3" max="3" width="16" customWidth="1"/>
    <col min="4" max="4" width="26" customWidth="1"/>
    <col min="5" max="6" width="25" customWidth="1"/>
    <col min="7" max="7" width="24" customWidth="1"/>
    <col min="8" max="8" width="35" customWidth="1"/>
    <col min="9" max="9" width="40" customWidth="1"/>
    <col min="10" max="10" width="38" customWidth="1"/>
  </cols>
  <sheetData>
    <row r="1" spans="1:10" ht="16.5" x14ac:dyDescent="0.35">
      <c r="A1" s="1" t="s">
        <v>0</v>
      </c>
      <c r="B1" s="1" t="s">
        <v>79</v>
      </c>
      <c r="C1" s="1" t="s">
        <v>35</v>
      </c>
      <c r="D1" s="1" t="s">
        <v>41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ht="16" x14ac:dyDescent="0.35">
      <c r="A2" s="2" t="s">
        <v>11</v>
      </c>
      <c r="B2" s="2" t="s">
        <v>2</v>
      </c>
      <c r="C2" s="5">
        <f>Financial_Metrics!C12</f>
        <v>1.0714285714285714</v>
      </c>
      <c r="D2" s="5">
        <f>Financial_Metrics!C15</f>
        <v>6.2499999999999991</v>
      </c>
      <c r="E2" s="5">
        <f>IF(Financial_Metrics!C11=0,0,Financial_Metrics!C13/Financial_Metrics!C11)</f>
        <v>0.43571428571428572</v>
      </c>
      <c r="F2" s="5">
        <f>IF(Financial_Metrics!C4=0,0,Financial_Metrics!C13/Financial_Metrics!C4)</f>
        <v>3.1371428571428575</v>
      </c>
      <c r="G2" s="4">
        <f>IF(Financial_Metrics!C2=0,0,Financial_Metrics!C9/Financial_Metrics!C2)</f>
        <v>0.20333333333333331</v>
      </c>
      <c r="H2" s="5">
        <f>IF(Financial_Metrics!C13=0,0,Financial_Metrics!C7/Financial_Metrics!C13)</f>
        <v>0.38433515482695807</v>
      </c>
      <c r="I2" s="2" t="s">
        <v>86</v>
      </c>
      <c r="J2" s="2" t="s">
        <v>87</v>
      </c>
    </row>
    <row r="3" spans="1:10" ht="16" x14ac:dyDescent="0.35">
      <c r="A3" s="2" t="s">
        <v>11</v>
      </c>
      <c r="B3" s="2" t="s">
        <v>3</v>
      </c>
      <c r="C3" s="5">
        <f>Financial_Metrics!D12</f>
        <v>1.0696055684454757</v>
      </c>
      <c r="D3" s="5">
        <f>Financial_Metrics!D15</f>
        <v>6.0333333333333341</v>
      </c>
      <c r="E3" s="5">
        <f>IF(Financial_Metrics!D11=0,0,Financial_Metrics!D13/Financial_Metrics!D11)</f>
        <v>0.42382057231245168</v>
      </c>
      <c r="F3" s="5">
        <f>IF(Financial_Metrics!D4=0,0,Financial_Metrics!D13/Financial_Metrics!D4)</f>
        <v>3.0276243093922655</v>
      </c>
      <c r="G3" s="4">
        <f>IF(Financial_Metrics!D2=0,0,Financial_Metrics!D9/Financial_Metrics!D2)</f>
        <v>7.5535512965050733E-2</v>
      </c>
      <c r="H3" s="5">
        <f>IF(Financial_Metrics!D13=0,0,Financial_Metrics!D7/Financial_Metrics!D13)</f>
        <v>0.17700729927007297</v>
      </c>
      <c r="I3" s="2" t="s">
        <v>86</v>
      </c>
      <c r="J3" s="2" t="s">
        <v>87</v>
      </c>
    </row>
    <row r="4" spans="1:10" ht="16" x14ac:dyDescent="0.35">
      <c r="A4" s="2" t="s">
        <v>11</v>
      </c>
      <c r="B4" s="2" t="s">
        <v>4</v>
      </c>
      <c r="C4" s="5">
        <f>Financial_Metrics!E12</f>
        <v>1.0603318250377074</v>
      </c>
      <c r="D4" s="5">
        <f>Financial_Metrics!E15</f>
        <v>6.4333333333333336</v>
      </c>
      <c r="E4" s="5">
        <f>IF(Financial_Metrics!E11=0,0,Financial_Metrics!E13/Financial_Metrics!E11)</f>
        <v>0.44871794871794873</v>
      </c>
      <c r="F4" s="5">
        <f>IF(Financial_Metrics!E4=0,0,Financial_Metrics!E13/Financial_Metrics!E4)</f>
        <v>3.0829015544041454</v>
      </c>
      <c r="G4" s="4">
        <f>IF(Financial_Metrics!E2=0,0,Financial_Metrics!E9/Financial_Metrics!E2)</f>
        <v>0.12552742616033755</v>
      </c>
      <c r="H4" s="5">
        <f>IF(Financial_Metrics!E13=0,0,Financial_Metrics!E7/Financial_Metrics!E13)</f>
        <v>0.25042016806722689</v>
      </c>
      <c r="I4" s="2" t="s">
        <v>86</v>
      </c>
      <c r="J4" s="2" t="s">
        <v>87</v>
      </c>
    </row>
    <row r="5" spans="1:10" ht="16" x14ac:dyDescent="0.35">
      <c r="A5" s="2" t="s">
        <v>11</v>
      </c>
      <c r="B5" s="2" t="s">
        <v>5</v>
      </c>
      <c r="C5" s="5">
        <f>Financial_Metrics!F12</f>
        <v>1.1992509363295882</v>
      </c>
      <c r="D5" s="5">
        <f>Financial_Metrics!F15</f>
        <v>6.4705882352941178</v>
      </c>
      <c r="E5" s="5">
        <f>IF(Financial_Metrics!F11=0,0,Financial_Metrics!F13/Financial_Metrics!F11)</f>
        <v>0.44494382022471912</v>
      </c>
      <c r="F5" s="5">
        <f>IF(Financial_Metrics!F4=0,0,Financial_Metrics!F13/Financial_Metrics!F4)</f>
        <v>2.7</v>
      </c>
      <c r="G5" s="4">
        <f>IF(Financial_Metrics!F2=0,0,Financial_Metrics!F9/Financial_Metrics!F2)</f>
        <v>0.12789526686807653</v>
      </c>
      <c r="H5" s="5">
        <f>IF(Financial_Metrics!F13=0,0,Financial_Metrics!F7/Financial_Metrics!F13)</f>
        <v>0.27104377104377103</v>
      </c>
      <c r="I5" s="2" t="s">
        <v>86</v>
      </c>
      <c r="J5" s="2" t="s">
        <v>87</v>
      </c>
    </row>
    <row r="6" spans="1:10" ht="16" x14ac:dyDescent="0.35">
      <c r="A6" s="2" t="s">
        <v>11</v>
      </c>
      <c r="B6" s="2" t="s">
        <v>6</v>
      </c>
      <c r="C6" s="5">
        <f>Financial_Metrics!G12</f>
        <v>1.2050000000000001</v>
      </c>
      <c r="D6" s="5">
        <f>Financial_Metrics!G15</f>
        <v>8.592307692307692</v>
      </c>
      <c r="E6" s="5">
        <f>IF(Financial_Metrics!G11=0,0,Financial_Metrics!G13/Financial_Metrics!G11)</f>
        <v>0.49285714285714288</v>
      </c>
      <c r="F6" s="5">
        <f>IF(Financial_Metrics!G4=0,0,Financial_Metrics!G13/Financial_Metrics!G4)</f>
        <v>3.0886302596239932</v>
      </c>
      <c r="G6" s="4">
        <f>IF(Financial_Metrics!G2=0,0,Financial_Metrics!G9/Financial_Metrics!G2)</f>
        <v>0.15966213432220847</v>
      </c>
      <c r="H6" s="5">
        <f>IF(Financial_Metrics!G13=0,0,Financial_Metrics!G7/Financial_Metrics!G13)</f>
        <v>0.27391304347826084</v>
      </c>
      <c r="I6" s="2" t="s">
        <v>86</v>
      </c>
      <c r="J6" s="2" t="s">
        <v>87</v>
      </c>
    </row>
    <row r="7" spans="1:10" ht="16" x14ac:dyDescent="0.35">
      <c r="A7" s="2" t="s">
        <v>11</v>
      </c>
      <c r="B7" s="2" t="s">
        <v>7</v>
      </c>
      <c r="C7" s="5">
        <f>Financial_Metrics!H12</f>
        <v>1.098360655737705</v>
      </c>
      <c r="D7" s="5">
        <f>Financial_Metrics!H15</f>
        <v>5.2058823529411757</v>
      </c>
      <c r="E7" s="5">
        <f>IF(Financial_Metrics!H11=0,0,Financial_Metrics!H13/Financial_Metrics!H11)</f>
        <v>0.46557377049180326</v>
      </c>
      <c r="F7" s="5">
        <f>IF(Financial_Metrics!H4=0,0,Financial_Metrics!H13/Financial_Metrics!H4)</f>
        <v>4.0112994350282483</v>
      </c>
      <c r="G7" s="4">
        <f>IF(Financial_Metrics!H2=0,0,Financial_Metrics!H9/Financial_Metrics!H2)</f>
        <v>0.16732673267326734</v>
      </c>
      <c r="H7" s="5">
        <f>IF(Financial_Metrics!H13=0,0,Financial_Metrics!H7/Financial_Metrics!H13)</f>
        <v>0.28732394366197184</v>
      </c>
      <c r="I7" s="2" t="s">
        <v>86</v>
      </c>
      <c r="J7" s="2" t="s">
        <v>87</v>
      </c>
    </row>
    <row r="8" spans="1:10" ht="16" x14ac:dyDescent="0.35">
      <c r="A8" s="2" t="s">
        <v>43</v>
      </c>
      <c r="B8" s="2" t="s">
        <v>2</v>
      </c>
      <c r="C8" s="5">
        <f>Financial_Metrics!C26</f>
        <v>0.92763157894736847</v>
      </c>
      <c r="D8" s="5">
        <f>Financial_Metrics!C29</f>
        <v>7.3809523809523814</v>
      </c>
      <c r="E8" s="5">
        <f>IF(Financial_Metrics!C25=0,0,Financial_Metrics!C27/Financial_Metrics!C25)</f>
        <v>0.73684210526315785</v>
      </c>
      <c r="F8" s="5">
        <f>IF(Financial_Metrics!C18=0,0,Financial_Metrics!C27/Financial_Metrics!C18)</f>
        <v>3.6129032258064511</v>
      </c>
      <c r="G8" s="4">
        <f>IF(Financial_Metrics!C16=0,0,Financial_Metrics!C23/Financial_Metrics!C16)</f>
        <v>0.18032786885245905</v>
      </c>
      <c r="H8" s="5">
        <f>IF(Financial_Metrics!C27=0,0,Financial_Metrics!C21/Financial_Metrics!C27)</f>
        <v>0.23214285714285718</v>
      </c>
      <c r="I8" s="2" t="s">
        <v>86</v>
      </c>
      <c r="J8" s="2" t="s">
        <v>87</v>
      </c>
    </row>
    <row r="9" spans="1:10" ht="16" x14ac:dyDescent="0.35">
      <c r="A9" s="2" t="s">
        <v>43</v>
      </c>
      <c r="B9" s="2" t="s">
        <v>3</v>
      </c>
      <c r="C9" s="5">
        <f>Financial_Metrics!D26</f>
        <v>0.93548387096774188</v>
      </c>
      <c r="D9" s="5">
        <f>Financial_Metrics!D29</f>
        <v>7.1111111111111116</v>
      </c>
      <c r="E9" s="5">
        <f>IF(Financial_Metrics!D25=0,0,Financial_Metrics!D27/Financial_Metrics!D25)</f>
        <v>0.74193548387096775</v>
      </c>
      <c r="F9" s="5">
        <f>IF(Financial_Metrics!D18=0,0,Financial_Metrics!D27/Financial_Metrics!D18)</f>
        <v>3.59375</v>
      </c>
      <c r="G9" s="4">
        <f>IF(Financial_Metrics!D16=0,0,Financial_Metrics!D23/Financial_Metrics!D16)</f>
        <v>0.18799999999999997</v>
      </c>
      <c r="H9" s="5">
        <f>IF(Financial_Metrics!D27=0,0,Financial_Metrics!D21/Financial_Metrics!D27)</f>
        <v>0.2434782608695652</v>
      </c>
      <c r="I9" s="2" t="s">
        <v>86</v>
      </c>
      <c r="J9" s="2" t="s">
        <v>87</v>
      </c>
    </row>
    <row r="10" spans="1:10" ht="16" x14ac:dyDescent="0.35">
      <c r="A10" s="2" t="s">
        <v>43</v>
      </c>
      <c r="B10" s="2" t="s">
        <v>4</v>
      </c>
      <c r="C10" s="5">
        <f>Financial_Metrics!E26</f>
        <v>0.9320987654320988</v>
      </c>
      <c r="D10" s="5">
        <f>Financial_Metrics!E29</f>
        <v>7.083333333333333</v>
      </c>
      <c r="E10" s="5">
        <f>IF(Financial_Metrics!E25=0,0,Financial_Metrics!E27/Financial_Metrics!E25)</f>
        <v>0.72839506172839519</v>
      </c>
      <c r="F10" s="5">
        <f>IF(Financial_Metrics!E18=0,0,Financial_Metrics!E27/Financial_Metrics!E18)</f>
        <v>3.4705882352941178</v>
      </c>
      <c r="G10" s="4">
        <f>IF(Financial_Metrics!E16=0,0,Financial_Metrics!E23/Financial_Metrics!E16)</f>
        <v>0.19402985074626866</v>
      </c>
      <c r="H10" s="5">
        <f>IF(Financial_Metrics!E27=0,0,Financial_Metrics!E21/Financial_Metrics!E27)</f>
        <v>0.26271186440677963</v>
      </c>
      <c r="I10" s="2" t="s">
        <v>86</v>
      </c>
      <c r="J10" s="2" t="s">
        <v>87</v>
      </c>
    </row>
    <row r="11" spans="1:10" ht="16" x14ac:dyDescent="0.35">
      <c r="A11" s="2" t="s">
        <v>43</v>
      </c>
      <c r="B11" s="2" t="s">
        <v>5</v>
      </c>
      <c r="C11" s="5">
        <f>Financial_Metrics!F26</f>
        <v>0.95757575757575764</v>
      </c>
      <c r="D11" s="5">
        <f>Financial_Metrics!F29</f>
        <v>7</v>
      </c>
      <c r="E11" s="5">
        <f>IF(Financial_Metrics!F25=0,0,Financial_Metrics!F27/Financial_Metrics!F25)</f>
        <v>0.73333333333333328</v>
      </c>
      <c r="F11" s="5">
        <f>IF(Financial_Metrics!F18=0,0,Financial_Metrics!F27/Financial_Metrics!F18)</f>
        <v>3.4571428571428569</v>
      </c>
      <c r="G11" s="4">
        <f>IF(Financial_Metrics!F16=0,0,Financial_Metrics!F23/Financial_Metrics!F16)</f>
        <v>0.18794326241134754</v>
      </c>
      <c r="H11" s="5">
        <f>IF(Financial_Metrics!F27=0,0,Financial_Metrics!F21/Financial_Metrics!F27)</f>
        <v>0.26446280991735538</v>
      </c>
      <c r="I11" s="2" t="s">
        <v>86</v>
      </c>
      <c r="J11" s="2" t="s">
        <v>87</v>
      </c>
    </row>
    <row r="12" spans="1:10" ht="16" x14ac:dyDescent="0.35">
      <c r="A12" s="2" t="s">
        <v>43</v>
      </c>
      <c r="B12" s="2" t="s">
        <v>6</v>
      </c>
      <c r="C12" s="5">
        <f>Financial_Metrics!G26</f>
        <v>0.95266272189349133</v>
      </c>
      <c r="D12" s="5">
        <f>Financial_Metrics!G29</f>
        <v>5.3300613496932518</v>
      </c>
      <c r="E12" s="5">
        <f>IF(Financial_Metrics!G25=0,0,Financial_Metrics!G27/Financial_Metrics!G25)</f>
        <v>0.85798816568047342</v>
      </c>
      <c r="F12" s="5">
        <f>IF(Financial_Metrics!G18=0,0,Financial_Metrics!G27/Financial_Metrics!G18)</f>
        <v>3.3379373848987108</v>
      </c>
      <c r="G12" s="4">
        <f>IF(Financial_Metrics!G16=0,0,Financial_Metrics!G23/Financial_Metrics!G16)</f>
        <v>0.16588091496420465</v>
      </c>
      <c r="H12" s="5">
        <f>IF(Financial_Metrics!G27=0,0,Financial_Metrics!G21/Financial_Metrics!G27)</f>
        <v>0.2413793103448276</v>
      </c>
      <c r="I12" s="2" t="s">
        <v>86</v>
      </c>
      <c r="J12" s="2" t="s">
        <v>87</v>
      </c>
    </row>
    <row r="13" spans="1:10" ht="16" x14ac:dyDescent="0.35">
      <c r="A13" s="2" t="s">
        <v>43</v>
      </c>
      <c r="B13" s="2" t="s">
        <v>7</v>
      </c>
      <c r="C13" s="5">
        <f>Financial_Metrics!H26</f>
        <v>0.96491228070175428</v>
      </c>
      <c r="D13" s="5">
        <f>Financial_Metrics!H29</f>
        <v>8.0769230769230766</v>
      </c>
      <c r="E13" s="5">
        <f>IF(Financial_Metrics!H25=0,0,Financial_Metrics!H27/Financial_Metrics!H25)</f>
        <v>0.92807017543859638</v>
      </c>
      <c r="F13" s="5">
        <f>IF(Financial_Metrics!H18=0,0,Financial_Metrics!H27/Financial_Metrics!H18)</f>
        <v>3.778571428571428</v>
      </c>
      <c r="G13" s="4">
        <f>IF(Financial_Metrics!H16=0,0,Financial_Metrics!H23/Financial_Metrics!H16)</f>
        <v>0.17463026166097839</v>
      </c>
      <c r="H13" s="5">
        <f>IF(Financial_Metrics!H27=0,0,Financial_Metrics!H21/Financial_Metrics!H27)</f>
        <v>0.23944549464398235</v>
      </c>
      <c r="I13" s="2" t="s">
        <v>86</v>
      </c>
      <c r="J13" s="2" t="s">
        <v>87</v>
      </c>
    </row>
    <row r="14" spans="1:10" ht="16" x14ac:dyDescent="0.35">
      <c r="A14" s="2" t="s">
        <v>47</v>
      </c>
      <c r="B14" s="2" t="s">
        <v>2</v>
      </c>
      <c r="C14" s="5">
        <f>Financial_Metrics!C40</f>
        <v>1.1333333333333333</v>
      </c>
      <c r="D14" s="5">
        <f>Financial_Metrics!C43</f>
        <v>8.6</v>
      </c>
      <c r="E14" s="5">
        <f>IF(Financial_Metrics!C39=0,0,Financial_Metrics!C41/Financial_Metrics!C39)</f>
        <v>0.58461538461538465</v>
      </c>
      <c r="F14" s="5">
        <f>IF(Financial_Metrics!C32=0,0,Financial_Metrics!C41/Financial_Metrics!C32)</f>
        <v>2.6511627906976747</v>
      </c>
      <c r="G14" s="4">
        <f>IF(Financial_Metrics!C30=0,0,Financial_Metrics!C37/Financial_Metrics!C30)</f>
        <v>0.1715438950554995</v>
      </c>
      <c r="H14" s="5">
        <f>IF(Financial_Metrics!C41=0,0,Financial_Metrics!C35/Financial_Metrics!C41)</f>
        <v>0.34210526315789475</v>
      </c>
      <c r="I14" s="2" t="s">
        <v>86</v>
      </c>
      <c r="J14" s="2" t="s">
        <v>87</v>
      </c>
    </row>
    <row r="15" spans="1:10" ht="16" x14ac:dyDescent="0.35">
      <c r="A15" s="2" t="s">
        <v>47</v>
      </c>
      <c r="B15" s="2" t="s">
        <v>3</v>
      </c>
      <c r="C15" s="5">
        <f>Financial_Metrics!D40</f>
        <v>1.1641791044776117</v>
      </c>
      <c r="D15" s="5">
        <f>Financial_Metrics!D43</f>
        <v>8.8461538461538449</v>
      </c>
      <c r="E15" s="5">
        <f>IF(Financial_Metrics!D39=0,0,Financial_Metrics!D41/Financial_Metrics!D39)</f>
        <v>0.59203980099502485</v>
      </c>
      <c r="F15" s="5">
        <f>IF(Financial_Metrics!D32=0,0,Financial_Metrics!D41/Financial_Metrics!D32)</f>
        <v>2.5869565217391308</v>
      </c>
      <c r="G15" s="4">
        <f>IF(Financial_Metrics!D30=0,0,Financial_Metrics!D37/Financial_Metrics!D30)</f>
        <v>0.17632850241545897</v>
      </c>
      <c r="H15" s="5">
        <f>IF(Financial_Metrics!D41=0,0,Financial_Metrics!D35/Financial_Metrics!D41)</f>
        <v>0.35294117647058826</v>
      </c>
      <c r="I15" s="2" t="s">
        <v>86</v>
      </c>
      <c r="J15" s="2" t="s">
        <v>87</v>
      </c>
    </row>
    <row r="16" spans="1:10" ht="16" x14ac:dyDescent="0.35">
      <c r="A16" s="2" t="s">
        <v>47</v>
      </c>
      <c r="B16" s="2" t="s">
        <v>4</v>
      </c>
      <c r="C16" s="5">
        <f>Financial_Metrics!E40</f>
        <v>1.164319248826291</v>
      </c>
      <c r="D16" s="5">
        <f>Financial_Metrics!E43</f>
        <v>9.2727272727272716</v>
      </c>
      <c r="E16" s="5">
        <f>IF(Financial_Metrics!E39=0,0,Financial_Metrics!E41/Financial_Metrics!E39)</f>
        <v>0.57746478873239437</v>
      </c>
      <c r="F16" s="5">
        <f>IF(Financial_Metrics!E32=0,0,Financial_Metrics!E41/Financial_Metrics!E32)</f>
        <v>2.4117647058823533</v>
      </c>
      <c r="G16" s="4">
        <f>IF(Financial_Metrics!E30=0,0,Financial_Metrics!E37/Financial_Metrics!E30)</f>
        <v>0.17621145374449337</v>
      </c>
      <c r="H16" s="5">
        <f>IF(Financial_Metrics!E41=0,0,Financial_Metrics!E35/Financial_Metrics!E41)</f>
        <v>0.3739837398373983</v>
      </c>
      <c r="I16" s="2" t="s">
        <v>86</v>
      </c>
      <c r="J16" s="2" t="s">
        <v>87</v>
      </c>
    </row>
    <row r="17" spans="1:10" ht="16" x14ac:dyDescent="0.35">
      <c r="A17" s="2" t="s">
        <v>47</v>
      </c>
      <c r="B17" s="2" t="s">
        <v>5</v>
      </c>
      <c r="C17" s="5">
        <f>Financial_Metrics!F40</f>
        <v>1.1651785714285716</v>
      </c>
      <c r="D17" s="5">
        <f>Financial_Metrics!F43</f>
        <v>9.3103448275862082</v>
      </c>
      <c r="E17" s="5">
        <f>IF(Financial_Metrics!F39=0,0,Financial_Metrics!F41/Financial_Metrics!F39)</f>
        <v>0.57142857142857151</v>
      </c>
      <c r="F17" s="5">
        <f>IF(Financial_Metrics!F32=0,0,Financial_Metrics!F41/Financial_Metrics!F32)</f>
        <v>2.3703703703703702</v>
      </c>
      <c r="G17" s="4">
        <f>IF(Financial_Metrics!F30=0,0,Financial_Metrics!F37/Financial_Metrics!F30)</f>
        <v>0.18085106382978725</v>
      </c>
      <c r="H17" s="5">
        <f>IF(Financial_Metrics!F41=0,0,Financial_Metrics!F35/Financial_Metrics!F41)</f>
        <v>0.3828125</v>
      </c>
      <c r="I17" s="2" t="s">
        <v>86</v>
      </c>
      <c r="J17" s="2" t="s">
        <v>87</v>
      </c>
    </row>
    <row r="18" spans="1:10" ht="16" x14ac:dyDescent="0.35">
      <c r="A18" s="2" t="s">
        <v>47</v>
      </c>
      <c r="B18" s="2" t="s">
        <v>6</v>
      </c>
      <c r="C18" s="5">
        <f>Financial_Metrics!G40</f>
        <v>1.1904761904761905</v>
      </c>
      <c r="D18" s="5">
        <f>Financial_Metrics!G43</f>
        <v>6.4822916666666668</v>
      </c>
      <c r="E18" s="5">
        <f>IF(Financial_Metrics!G39=0,0,Financial_Metrics!G41/Financial_Metrics!G39)</f>
        <v>0.58008658008658009</v>
      </c>
      <c r="F18" s="5">
        <f>IF(Financial_Metrics!G32=0,0,Financial_Metrics!G41/Financial_Metrics!G32)</f>
        <v>2.1533022657882053</v>
      </c>
      <c r="G18" s="4">
        <f>IF(Financial_Metrics!G30=0,0,Financial_Metrics!G37/Financial_Metrics!G30)</f>
        <v>0.17049034505763314</v>
      </c>
      <c r="H18" s="5">
        <f>IF(Financial_Metrics!G41=0,0,Financial_Metrics!G35/Financial_Metrics!G41)</f>
        <v>0.39552238805970147</v>
      </c>
      <c r="I18" s="2" t="s">
        <v>86</v>
      </c>
      <c r="J18" s="2" t="s">
        <v>87</v>
      </c>
    </row>
    <row r="19" spans="1:10" ht="16" x14ac:dyDescent="0.35">
      <c r="A19" s="2" t="s">
        <v>47</v>
      </c>
      <c r="B19" s="2" t="s">
        <v>7</v>
      </c>
      <c r="C19" s="5">
        <f>Financial_Metrics!H40</f>
        <v>1.1942148760330578</v>
      </c>
      <c r="D19" s="5">
        <f>Financial_Metrics!H43</f>
        <v>10.322580645161292</v>
      </c>
      <c r="E19" s="5">
        <f>IF(Financial_Metrics!H39=0,0,Financial_Metrics!H41/Financial_Metrics!H39)</f>
        <v>0.58264462809917361</v>
      </c>
      <c r="F19" s="5">
        <f>IF(Financial_Metrics!H32=0,0,Financial_Metrics!H41/Financial_Metrics!H32)</f>
        <v>2.203125</v>
      </c>
      <c r="G19" s="4">
        <f>IF(Financial_Metrics!H30=0,0,Financial_Metrics!H37/Financial_Metrics!H30)</f>
        <v>0.17960644007155635</v>
      </c>
      <c r="H19" s="5">
        <f>IF(Financial_Metrics!H41=0,0,Financial_Metrics!H35/Financial_Metrics!H41)</f>
        <v>0.41134751773049644</v>
      </c>
      <c r="I19" s="2" t="s">
        <v>86</v>
      </c>
      <c r="J19" s="2" t="s">
        <v>87</v>
      </c>
    </row>
    <row r="20" spans="1:10" ht="16" x14ac:dyDescent="0.35">
      <c r="A20" s="2" t="s">
        <v>50</v>
      </c>
      <c r="B20" s="2" t="s">
        <v>2</v>
      </c>
      <c r="C20" s="5">
        <f>Financial_Metrics!C54</f>
        <v>1.2</v>
      </c>
      <c r="D20" s="5">
        <f>Financial_Metrics!C57</f>
        <v>6.9999999999999991</v>
      </c>
      <c r="E20" s="5">
        <f>IF(Financial_Metrics!C53=0,0,Financial_Metrics!C55/Financial_Metrics!C53)</f>
        <v>0.6</v>
      </c>
      <c r="F20" s="5">
        <f>IF(Financial_Metrics!C46=0,0,Financial_Metrics!C55/Financial_Metrics!C46)</f>
        <v>3.6428571428571428</v>
      </c>
      <c r="G20" s="4">
        <f>IF(Financial_Metrics!C44=0,0,Financial_Metrics!C51/Financial_Metrics!C44)</f>
        <v>0.1380175658720201</v>
      </c>
      <c r="H20" s="5">
        <f>IF(Financial_Metrics!C55=0,0,Financial_Metrics!C49/Financial_Metrics!C55)</f>
        <v>0.24509803921568629</v>
      </c>
      <c r="I20" s="2" t="s">
        <v>86</v>
      </c>
      <c r="J20" s="2" t="s">
        <v>87</v>
      </c>
    </row>
    <row r="21" spans="1:10" ht="16" x14ac:dyDescent="0.35">
      <c r="A21" s="2" t="s">
        <v>50</v>
      </c>
      <c r="B21" s="2" t="s">
        <v>3</v>
      </c>
      <c r="C21" s="5">
        <f>Financial_Metrics!D54</f>
        <v>1.2391304347826089</v>
      </c>
      <c r="D21" s="5">
        <f>Financial_Metrics!D57</f>
        <v>7.0454545454545459</v>
      </c>
      <c r="E21" s="5">
        <f>IF(Financial_Metrics!D53=0,0,Financial_Metrics!D55/Financial_Metrics!D53)</f>
        <v>0.58695652173913049</v>
      </c>
      <c r="F21" s="5">
        <f>IF(Financial_Metrics!D46=0,0,Financial_Metrics!D55/Financial_Metrics!D46)</f>
        <v>3.4838709677419355</v>
      </c>
      <c r="G21" s="4">
        <f>IF(Financial_Metrics!D44=0,0,Financial_Metrics!D51/Financial_Metrics!D44)</f>
        <v>0.14523809523809522</v>
      </c>
      <c r="H21" s="5">
        <f>IF(Financial_Metrics!D55=0,0,Financial_Metrics!D49/Financial_Metrics!D55)</f>
        <v>0.25925925925925924</v>
      </c>
      <c r="I21" s="2" t="s">
        <v>86</v>
      </c>
      <c r="J21" s="2" t="s">
        <v>87</v>
      </c>
    </row>
    <row r="22" spans="1:10" ht="16" x14ac:dyDescent="0.35">
      <c r="A22" s="2" t="s">
        <v>50</v>
      </c>
      <c r="B22" s="2" t="s">
        <v>4</v>
      </c>
      <c r="C22" s="5">
        <f>Financial_Metrics!E54</f>
        <v>1.2307692307692308</v>
      </c>
      <c r="D22" s="5">
        <f>Financial_Metrics!E57</f>
        <v>7.4</v>
      </c>
      <c r="E22" s="5">
        <f>IF(Financial_Metrics!E53=0,0,Financial_Metrics!E55/Financial_Metrics!E53)</f>
        <v>0.59615384615384615</v>
      </c>
      <c r="F22" s="5">
        <f>IF(Financial_Metrics!E46=0,0,Financial_Metrics!E55/Financial_Metrics!E46)</f>
        <v>3.3513513513513513</v>
      </c>
      <c r="G22" s="4">
        <f>IF(Financial_Metrics!E44=0,0,Financial_Metrics!E51/Financial_Metrics!E44)</f>
        <v>0.14949494949494949</v>
      </c>
      <c r="H22" s="5">
        <f>IF(Financial_Metrics!E55=0,0,Financial_Metrics!E49/Financial_Metrics!E55)</f>
        <v>0.27419354838709675</v>
      </c>
      <c r="I22" s="2" t="s">
        <v>86</v>
      </c>
      <c r="J22" s="2" t="s">
        <v>87</v>
      </c>
    </row>
    <row r="23" spans="1:10" ht="16" x14ac:dyDescent="0.35">
      <c r="A23" s="2" t="s">
        <v>50</v>
      </c>
      <c r="B23" s="2" t="s">
        <v>5</v>
      </c>
      <c r="C23" s="5">
        <f>Financial_Metrics!F54</f>
        <v>1.2260869565217392</v>
      </c>
      <c r="D23" s="5">
        <f>Financial_Metrics!F57</f>
        <v>7.5</v>
      </c>
      <c r="E23" s="5">
        <f>IF(Financial_Metrics!F53=0,0,Financial_Metrics!F55/Financial_Metrics!F53)</f>
        <v>0.59130434782608698</v>
      </c>
      <c r="F23" s="5">
        <f>IF(Financial_Metrics!F46=0,0,Financial_Metrics!F55/Financial_Metrics!F46)</f>
        <v>3.2380952380952377</v>
      </c>
      <c r="G23" s="4">
        <f>IF(Financial_Metrics!F44=0,0,Financial_Metrics!F51/Financial_Metrics!F44)</f>
        <v>0.13214285714285715</v>
      </c>
      <c r="H23" s="5">
        <f>IF(Financial_Metrics!F55=0,0,Financial_Metrics!F49/Financial_Metrics!F55)</f>
        <v>0.25</v>
      </c>
      <c r="I23" s="2" t="s">
        <v>86</v>
      </c>
      <c r="J23" s="2" t="s">
        <v>87</v>
      </c>
    </row>
    <row r="24" spans="1:10" ht="16" x14ac:dyDescent="0.35">
      <c r="A24" s="2" t="s">
        <v>50</v>
      </c>
      <c r="B24" s="2" t="s">
        <v>6</v>
      </c>
      <c r="C24" s="5">
        <f>Financial_Metrics!G54</f>
        <v>1.25</v>
      </c>
      <c r="D24" s="5">
        <f>Financial_Metrics!G57</f>
        <v>4.0688575899843507</v>
      </c>
      <c r="E24" s="5">
        <f>IF(Financial_Metrics!G53=0,0,Financial_Metrics!G55/Financial_Metrics!G53)</f>
        <v>0.59848484848484851</v>
      </c>
      <c r="F24" s="5">
        <f>IF(Financial_Metrics!G46=0,0,Financial_Metrics!G55/Financial_Metrics!G46)</f>
        <v>3.0384615384615383</v>
      </c>
      <c r="G24" s="4">
        <f>IF(Financial_Metrics!G44=0,0,Financial_Metrics!G51/Financial_Metrics!G44)</f>
        <v>0.15062401377133841</v>
      </c>
      <c r="H24" s="5">
        <f>IF(Financial_Metrics!G55=0,0,Financial_Metrics!G49/Financial_Metrics!G55)</f>
        <v>0.30379746835443033</v>
      </c>
      <c r="I24" s="2" t="s">
        <v>86</v>
      </c>
      <c r="J24" s="2" t="s">
        <v>87</v>
      </c>
    </row>
    <row r="25" spans="1:10" ht="16" x14ac:dyDescent="0.35">
      <c r="A25" s="2" t="s">
        <v>50</v>
      </c>
      <c r="B25" s="2" t="s">
        <v>7</v>
      </c>
      <c r="C25" s="5">
        <f>Financial_Metrics!H54</f>
        <v>1.2465753424657533</v>
      </c>
      <c r="D25" s="5">
        <f>Financial_Metrics!H57</f>
        <v>8.6111111111111125</v>
      </c>
      <c r="E25" s="5">
        <f>IF(Financial_Metrics!H53=0,0,Financial_Metrics!H55/Financial_Metrics!H53)</f>
        <v>0.59589041095890405</v>
      </c>
      <c r="F25" s="5">
        <f>IF(Financial_Metrics!H46=0,0,Financial_Metrics!H55/Financial_Metrics!H46)</f>
        <v>2.8064516129032255</v>
      </c>
      <c r="G25" s="4">
        <f>IF(Financial_Metrics!H44=0,0,Financial_Metrics!H51/Financial_Metrics!H44)</f>
        <v>0.15873015873015872</v>
      </c>
      <c r="H25" s="5">
        <f>IF(Financial_Metrics!H55=0,0,Financial_Metrics!H49/Financial_Metrics!H55)</f>
        <v>0.32758620689655177</v>
      </c>
      <c r="I25" s="2" t="s">
        <v>86</v>
      </c>
      <c r="J25" s="2" t="s">
        <v>87</v>
      </c>
    </row>
    <row r="26" spans="1:10" ht="16" x14ac:dyDescent="0.35">
      <c r="A26" s="2" t="s">
        <v>54</v>
      </c>
      <c r="B26" s="2" t="s">
        <v>2</v>
      </c>
      <c r="C26" s="5">
        <f>Financial_Metrics!C68</f>
        <v>1.368421052631579</v>
      </c>
      <c r="D26" s="5">
        <f>Financial_Metrics!C71</f>
        <v>7.5</v>
      </c>
      <c r="E26" s="5">
        <f>IF(Financial_Metrics!C67=0,0,Financial_Metrics!C69/Financial_Metrics!C67)</f>
        <v>0.73684210526315785</v>
      </c>
      <c r="F26" s="5">
        <f>IF(Financial_Metrics!C60=0,0,Financial_Metrics!C69/Financial_Metrics!C60)</f>
        <v>3.7333333333333329</v>
      </c>
      <c r="G26" s="4">
        <f>IF(Financial_Metrics!C58=0,0,Financial_Metrics!C65/Financial_Metrics!C58)</f>
        <v>0.21311475409836064</v>
      </c>
      <c r="H26" s="5">
        <f>IF(Financial_Metrics!C69=0,0,Financial_Metrics!C63/Financial_Metrics!C69)</f>
        <v>0.25</v>
      </c>
      <c r="I26" s="2" t="s">
        <v>86</v>
      </c>
      <c r="J26" s="2" t="s">
        <v>87</v>
      </c>
    </row>
    <row r="27" spans="1:10" ht="16" x14ac:dyDescent="0.35">
      <c r="A27" s="2" t="s">
        <v>54</v>
      </c>
      <c r="B27" s="2" t="s">
        <v>3</v>
      </c>
      <c r="C27" s="5">
        <f>Financial_Metrics!D68</f>
        <v>1.3809523809523809</v>
      </c>
      <c r="D27" s="5">
        <f>Financial_Metrics!D71</f>
        <v>8.1818181818181817</v>
      </c>
      <c r="E27" s="5">
        <f>IF(Financial_Metrics!D67=0,0,Financial_Metrics!D69/Financial_Metrics!D67)</f>
        <v>0.73809523809523814</v>
      </c>
      <c r="F27" s="5">
        <f>IF(Financial_Metrics!D60=0,0,Financial_Metrics!D69/Financial_Metrics!D60)</f>
        <v>3.4444444444444446</v>
      </c>
      <c r="G27" s="4">
        <f>IF(Financial_Metrics!D58=0,0,Financial_Metrics!D65/Financial_Metrics!D58)</f>
        <v>0.21714285714285714</v>
      </c>
      <c r="H27" s="5">
        <f>IF(Financial_Metrics!D69=0,0,Financial_Metrics!D63/Financial_Metrics!D69)</f>
        <v>0.26451612903225802</v>
      </c>
      <c r="I27" s="2" t="s">
        <v>86</v>
      </c>
      <c r="J27" s="2" t="s">
        <v>87</v>
      </c>
    </row>
    <row r="28" spans="1:10" ht="16" x14ac:dyDescent="0.35">
      <c r="A28" s="2" t="s">
        <v>54</v>
      </c>
      <c r="B28" s="2" t="s">
        <v>4</v>
      </c>
      <c r="C28" s="5">
        <f>Financial_Metrics!E68</f>
        <v>1.3913043478260871</v>
      </c>
      <c r="D28" s="5">
        <f>Financial_Metrics!E71</f>
        <v>8.75</v>
      </c>
      <c r="E28" s="5">
        <f>IF(Financial_Metrics!E67=0,0,Financial_Metrics!E69/Financial_Metrics!E67)</f>
        <v>0.73913043478260876</v>
      </c>
      <c r="F28" s="5">
        <f>IF(Financial_Metrics!E60=0,0,Financial_Metrics!E69/Financial_Metrics!E60)</f>
        <v>3.2380952380952377</v>
      </c>
      <c r="G28" s="4">
        <f>IF(Financial_Metrics!E58=0,0,Financial_Metrics!E65/Financial_Metrics!E58)</f>
        <v>0.22278481012658224</v>
      </c>
      <c r="H28" s="5">
        <f>IF(Financial_Metrics!E69=0,0,Financial_Metrics!E63/Financial_Metrics!E69)</f>
        <v>0.27941176470588236</v>
      </c>
      <c r="I28" s="2" t="s">
        <v>86</v>
      </c>
      <c r="J28" s="2" t="s">
        <v>87</v>
      </c>
    </row>
    <row r="29" spans="1:10" ht="16" x14ac:dyDescent="0.35">
      <c r="A29" s="2" t="s">
        <v>54</v>
      </c>
      <c r="B29" s="2" t="s">
        <v>5</v>
      </c>
      <c r="C29" s="5">
        <f>Financial_Metrics!F68</f>
        <v>1.392156862745098</v>
      </c>
      <c r="D29" s="5">
        <f>Financial_Metrics!F71</f>
        <v>8.8461538461538449</v>
      </c>
      <c r="E29" s="5">
        <f>IF(Financial_Metrics!F67=0,0,Financial_Metrics!F69/Financial_Metrics!F67)</f>
        <v>0.72549019607843146</v>
      </c>
      <c r="F29" s="5">
        <f>IF(Financial_Metrics!F60=0,0,Financial_Metrics!F69/Financial_Metrics!F60)</f>
        <v>3.2173913043478266</v>
      </c>
      <c r="G29" s="4">
        <f>IF(Financial_Metrics!F58=0,0,Financial_Metrics!F65/Financial_Metrics!F58)</f>
        <v>0.22558139534883723</v>
      </c>
      <c r="H29" s="5">
        <f>IF(Financial_Metrics!F69=0,0,Financial_Metrics!F63/Financial_Metrics!F69)</f>
        <v>0.28378378378378377</v>
      </c>
      <c r="I29" s="2" t="s">
        <v>86</v>
      </c>
      <c r="J29" s="2" t="s">
        <v>87</v>
      </c>
    </row>
    <row r="30" spans="1:10" ht="16" x14ac:dyDescent="0.35">
      <c r="A30" s="2" t="s">
        <v>54</v>
      </c>
      <c r="B30" s="2" t="s">
        <v>6</v>
      </c>
      <c r="C30" s="5">
        <f>Financial_Metrics!G68</f>
        <v>1.4126984126984128</v>
      </c>
      <c r="D30" s="5">
        <f>Financial_Metrics!G71</f>
        <v>5.2188552188552189</v>
      </c>
      <c r="E30" s="5">
        <f>IF(Financial_Metrics!G67=0,0,Financial_Metrics!G69/Financial_Metrics!G67)</f>
        <v>0.7142857142857143</v>
      </c>
      <c r="F30" s="5">
        <f>IF(Financial_Metrics!G60=0,0,Financial_Metrics!G69/Financial_Metrics!G60)</f>
        <v>2.903225806451613</v>
      </c>
      <c r="G30" s="4">
        <f>IF(Financial_Metrics!G58=0,0,Financial_Metrics!G65/Financial_Metrics!G58)</f>
        <v>0.21856997627922733</v>
      </c>
      <c r="H30" s="5">
        <f>IF(Financial_Metrics!G69=0,0,Financial_Metrics!G63/Financial_Metrics!G69)</f>
        <v>0.31111111111111112</v>
      </c>
      <c r="I30" s="2" t="s">
        <v>86</v>
      </c>
      <c r="J30" s="2" t="s">
        <v>87</v>
      </c>
    </row>
    <row r="31" spans="1:10" ht="16" x14ac:dyDescent="0.35">
      <c r="A31" s="2" t="s">
        <v>54</v>
      </c>
      <c r="B31" s="2" t="s">
        <v>7</v>
      </c>
      <c r="C31" s="5">
        <f>Financial_Metrics!H68</f>
        <v>1.4202898550724639</v>
      </c>
      <c r="D31" s="5">
        <f>Financial_Metrics!H71</f>
        <v>10.882352941176471</v>
      </c>
      <c r="E31" s="5">
        <f>IF(Financial_Metrics!H67=0,0,Financial_Metrics!H69/Financial_Metrics!H67)</f>
        <v>0.71014492753623193</v>
      </c>
      <c r="F31" s="5">
        <f>IF(Financial_Metrics!H60=0,0,Financial_Metrics!H69/Financial_Metrics!H60)</f>
        <v>2.6486486486486487</v>
      </c>
      <c r="G31" s="4">
        <f>IF(Financial_Metrics!H58=0,0,Financial_Metrics!H65/Financial_Metrics!H58)</f>
        <v>0.22822822822822822</v>
      </c>
      <c r="H31" s="5">
        <f>IF(Financial_Metrics!H69=0,0,Financial_Metrics!H63/Financial_Metrics!H69)</f>
        <v>0.33673469387755095</v>
      </c>
      <c r="I31" s="2" t="s">
        <v>86</v>
      </c>
      <c r="J31" s="2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E4" sqref="E4"/>
    </sheetView>
  </sheetViews>
  <sheetFormatPr defaultRowHeight="14.5" x14ac:dyDescent="0.35"/>
  <cols>
    <col min="1" max="1" width="12" customWidth="1"/>
    <col min="2" max="2" width="26" customWidth="1"/>
    <col min="3" max="3" width="23" customWidth="1"/>
    <col min="4" max="4" width="29" customWidth="1"/>
    <col min="5" max="5" width="20" customWidth="1"/>
    <col min="6" max="6" width="16" customWidth="1"/>
    <col min="7" max="7" width="17" customWidth="1"/>
    <col min="8" max="8" width="31" customWidth="1"/>
    <col min="9" max="9" width="26" customWidth="1"/>
    <col min="10" max="10" width="14" customWidth="1"/>
    <col min="11" max="11" width="29" customWidth="1"/>
    <col min="12" max="12" width="28" customWidth="1"/>
    <col min="13" max="13" width="30" customWidth="1"/>
    <col min="14" max="14" width="29" customWidth="1"/>
    <col min="15" max="15" width="69" customWidth="1"/>
    <col min="16" max="16" width="16" customWidth="1"/>
  </cols>
  <sheetData>
    <row r="1" spans="1:16" ht="16.5" x14ac:dyDescent="0.35">
      <c r="A1" s="1" t="s">
        <v>0</v>
      </c>
      <c r="B1" s="1" t="s">
        <v>88</v>
      </c>
      <c r="C1" s="1" t="s">
        <v>89</v>
      </c>
      <c r="D1" s="1" t="s">
        <v>90</v>
      </c>
      <c r="E1" s="1" t="s">
        <v>23</v>
      </c>
      <c r="F1" s="1" t="s">
        <v>35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spans="1:16" ht="16" x14ac:dyDescent="0.35">
      <c r="A2" s="2" t="s">
        <v>11</v>
      </c>
      <c r="B2" s="8">
        <f>Financial_Metrics!G2</f>
        <v>9.7080000000000002</v>
      </c>
      <c r="C2" s="3">
        <f>Financial_Metrics!G4</f>
        <v>2.234</v>
      </c>
      <c r="D2" s="3">
        <f>Financial_Metrics!G5</f>
        <v>1.613</v>
      </c>
      <c r="E2" s="4">
        <f>Financial_Metrics!G6</f>
        <v>0.16615162752369181</v>
      </c>
      <c r="F2" s="5">
        <f>Financial_Metrics!G12</f>
        <v>1.2050000000000001</v>
      </c>
      <c r="G2" s="5">
        <f>IF(B2=0,0,Financial_Metrics!G13/B2)</f>
        <v>0.71075401730531518</v>
      </c>
      <c r="H2" s="3">
        <f>Financial_Metrics!G7</f>
        <v>1.89</v>
      </c>
      <c r="I2" s="8">
        <f>Financial_Metrics!G9</f>
        <v>1.5499999999999998</v>
      </c>
      <c r="J2" s="9">
        <f>IF(B2=0,0,I2/B2)</f>
        <v>0.15966213432220847</v>
      </c>
      <c r="K2" s="10">
        <f>IF(Financial_Metrics!G13=0,0,H2/Financial_Metrics!G13)</f>
        <v>0.27391304347826084</v>
      </c>
      <c r="L2" s="3">
        <f>Stress_Test_Matrix!E3</f>
        <v>1.95475</v>
      </c>
      <c r="M2" s="3">
        <f>Stress_Test_Matrix!E4</f>
        <v>1.6755</v>
      </c>
      <c r="N2" s="5">
        <f>Stress_Test_Matrix!F4</f>
        <v>6.444230769230769</v>
      </c>
      <c r="O2" s="2" t="s">
        <v>101</v>
      </c>
      <c r="P2" s="2" t="s">
        <v>102</v>
      </c>
    </row>
    <row r="3" spans="1:16" ht="16" x14ac:dyDescent="0.35">
      <c r="A3" s="2" t="s">
        <v>43</v>
      </c>
      <c r="B3" s="8">
        <f>Financial_Metrics!G16</f>
        <v>17.181000000000001</v>
      </c>
      <c r="C3" s="3">
        <f>Financial_Metrics!G18</f>
        <v>4.3440000000000003</v>
      </c>
      <c r="D3" s="3">
        <f>Financial_Metrics!G19</f>
        <v>3.6949999999999998</v>
      </c>
      <c r="E3" s="4">
        <f>Financial_Metrics!G20</f>
        <v>0.21506315115534599</v>
      </c>
      <c r="F3" s="5">
        <f>Financial_Metrics!G26</f>
        <v>0.95266272189349133</v>
      </c>
      <c r="G3" s="5">
        <f>IF(B3=0,0,Financial_Metrics!G27/B3)</f>
        <v>0.84395553227402353</v>
      </c>
      <c r="H3" s="3">
        <f>Financial_Metrics!G21</f>
        <v>3.5</v>
      </c>
      <c r="I3" s="8">
        <f>Financial_Metrics!G23</f>
        <v>2.85</v>
      </c>
      <c r="J3" s="9">
        <f>IF(B3=0,0,I3/B3)</f>
        <v>0.16588091496420465</v>
      </c>
      <c r="K3" s="10">
        <f>IF(Financial_Metrics!G27=0,0,H3/Financial_Metrics!G27)</f>
        <v>0.2413793103448276</v>
      </c>
      <c r="L3" s="3">
        <f>Stress_Test_Matrix!E7</f>
        <v>3.8010000000000002</v>
      </c>
      <c r="M3" s="3">
        <f>Stress_Test_Matrix!E8</f>
        <v>3.258</v>
      </c>
      <c r="N3" s="5">
        <f>Stress_Test_Matrix!F8</f>
        <v>3.9975460122699391</v>
      </c>
      <c r="O3" s="2" t="s">
        <v>103</v>
      </c>
      <c r="P3" s="2" t="s">
        <v>102</v>
      </c>
    </row>
    <row r="4" spans="1:16" ht="16" x14ac:dyDescent="0.35">
      <c r="A4" s="2" t="s">
        <v>47</v>
      </c>
      <c r="B4" s="8">
        <f>Financial_Metrics!G30</f>
        <v>26.981000000000002</v>
      </c>
      <c r="C4" s="3">
        <f>Financial_Metrics!G32</f>
        <v>6.2229999999999999</v>
      </c>
      <c r="D4" s="3">
        <f>Financial_Metrics!G33</f>
        <v>4.16</v>
      </c>
      <c r="E4" s="4">
        <f>Financial_Metrics!G34</f>
        <v>0.15418257292168563</v>
      </c>
      <c r="F4" s="5">
        <f>Financial_Metrics!G40</f>
        <v>1.1904761904761905</v>
      </c>
      <c r="G4" s="5">
        <f>IF(B4=0,0,Financial_Metrics!G41/B4)</f>
        <v>0.49664578777658352</v>
      </c>
      <c r="H4" s="3">
        <f>Financial_Metrics!G35</f>
        <v>5.3</v>
      </c>
      <c r="I4" s="8">
        <f>Financial_Metrics!G37</f>
        <v>4.5999999999999996</v>
      </c>
      <c r="J4" s="9">
        <f>IF(B4=0,0,I4/B4)</f>
        <v>0.17049034505763314</v>
      </c>
      <c r="K4" s="10">
        <f>IF(Financial_Metrics!G41=0,0,H4/Financial_Metrics!G41)</f>
        <v>0.39552238805970147</v>
      </c>
      <c r="L4" s="3">
        <f>Stress_Test_Matrix!E11</f>
        <v>5.445125</v>
      </c>
      <c r="M4" s="3">
        <f>Stress_Test_Matrix!E12</f>
        <v>4.6672500000000001</v>
      </c>
      <c r="N4" s="5">
        <f>Stress_Test_Matrix!F12</f>
        <v>4.8617187500000005</v>
      </c>
      <c r="O4" s="2" t="s">
        <v>104</v>
      </c>
      <c r="P4" s="2" t="s">
        <v>102</v>
      </c>
    </row>
    <row r="5" spans="1:16" ht="16" x14ac:dyDescent="0.35">
      <c r="A5" s="2" t="s">
        <v>50</v>
      </c>
      <c r="B5" s="8">
        <f>Financial_Metrics!G44</f>
        <v>13.942</v>
      </c>
      <c r="C5" s="3">
        <f>Financial_Metrics!G46</f>
        <v>2.6</v>
      </c>
      <c r="D5" s="3">
        <f>Financial_Metrics!G47</f>
        <v>1.5029999999999999</v>
      </c>
      <c r="E5" s="4">
        <f>Financial_Metrics!G48</f>
        <v>0.10780375842777219</v>
      </c>
      <c r="F5" s="5">
        <f>Financial_Metrics!G54</f>
        <v>1.25</v>
      </c>
      <c r="G5" s="5">
        <f>IF(B5=0,0,Financial_Metrics!G55/B5)</f>
        <v>0.5666331946636064</v>
      </c>
      <c r="H5" s="3">
        <f>Financial_Metrics!G49</f>
        <v>2.4</v>
      </c>
      <c r="I5" s="8">
        <f>Financial_Metrics!G51</f>
        <v>2.1</v>
      </c>
      <c r="J5" s="9">
        <f>IF(B5=0,0,I5/B5)</f>
        <v>0.15062401377133841</v>
      </c>
      <c r="K5" s="10">
        <f>IF(Financial_Metrics!G55=0,0,H5/Financial_Metrics!G55)</f>
        <v>0.30379746835443033</v>
      </c>
      <c r="L5" s="3">
        <f>Stress_Test_Matrix!E15</f>
        <v>2.2749999999999999</v>
      </c>
      <c r="M5" s="3">
        <f>Stress_Test_Matrix!E16</f>
        <v>1.9500000000000002</v>
      </c>
      <c r="N5" s="5">
        <f>Stress_Test_Matrix!F16</f>
        <v>3.051643192488263</v>
      </c>
      <c r="O5" s="2" t="s">
        <v>105</v>
      </c>
      <c r="P5" s="2" t="s">
        <v>102</v>
      </c>
    </row>
    <row r="6" spans="1:16" ht="16" x14ac:dyDescent="0.35">
      <c r="A6" s="2" t="s">
        <v>54</v>
      </c>
      <c r="B6" s="8">
        <f>Financial_Metrics!G58</f>
        <v>5.9020000000000001</v>
      </c>
      <c r="C6" s="3">
        <f>Financial_Metrics!G60</f>
        <v>1.55</v>
      </c>
      <c r="D6" s="3">
        <f>Financial_Metrics!G61</f>
        <v>1.054</v>
      </c>
      <c r="E6" s="4">
        <f>Financial_Metrics!G62</f>
        <v>0.17858353100643851</v>
      </c>
      <c r="F6" s="5">
        <f>Financial_Metrics!G68</f>
        <v>1.4126984126984128</v>
      </c>
      <c r="G6" s="5">
        <f>IF(B6=0,0,Financial_Metrics!G69/B6)</f>
        <v>0.7624534056252118</v>
      </c>
      <c r="H6" s="3">
        <f>Financial_Metrics!G63</f>
        <v>1.4</v>
      </c>
      <c r="I6" s="8">
        <f>Financial_Metrics!G65</f>
        <v>1.2899999999999998</v>
      </c>
      <c r="J6" s="9">
        <f>IF(B6=0,0,I6/B6)</f>
        <v>0.21856997627922733</v>
      </c>
      <c r="K6" s="10">
        <f>IF(Financial_Metrics!G69=0,0,H6/Financial_Metrics!G69)</f>
        <v>0.31111111111111112</v>
      </c>
      <c r="L6" s="3">
        <f>Stress_Test_Matrix!E19</f>
        <v>1.35625</v>
      </c>
      <c r="M6" s="3">
        <f>Stress_Test_Matrix!E20</f>
        <v>1.1625000000000001</v>
      </c>
      <c r="N6" s="5">
        <f>Stress_Test_Matrix!F20</f>
        <v>3.9141414141414148</v>
      </c>
      <c r="O6" s="2" t="s">
        <v>106</v>
      </c>
      <c r="P6" s="2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 x14ac:dyDescent="0.35"/>
  <cols>
    <col min="1" max="1" width="26" customWidth="1"/>
    <col min="2" max="2" width="101" customWidth="1"/>
    <col min="3" max="3" width="71" customWidth="1"/>
  </cols>
  <sheetData>
    <row r="1" spans="1:3" ht="16.5" x14ac:dyDescent="0.35">
      <c r="A1" s="1" t="s">
        <v>107</v>
      </c>
      <c r="B1" s="1" t="s">
        <v>108</v>
      </c>
      <c r="C1" s="1" t="s">
        <v>109</v>
      </c>
    </row>
    <row r="2" spans="1:3" ht="16" x14ac:dyDescent="0.35">
      <c r="A2" s="2" t="s">
        <v>110</v>
      </c>
      <c r="B2" s="2" t="s">
        <v>111</v>
      </c>
      <c r="C2" s="6" t="s">
        <v>112</v>
      </c>
    </row>
    <row r="3" spans="1:3" ht="16" x14ac:dyDescent="0.35">
      <c r="A3" s="2" t="s">
        <v>113</v>
      </c>
      <c r="B3" s="2" t="s">
        <v>114</v>
      </c>
      <c r="C3" s="6" t="s">
        <v>115</v>
      </c>
    </row>
    <row r="4" spans="1:3" ht="16" x14ac:dyDescent="0.35">
      <c r="A4" s="2" t="s">
        <v>116</v>
      </c>
      <c r="B4" s="2" t="s">
        <v>117</v>
      </c>
      <c r="C4" s="6" t="s">
        <v>118</v>
      </c>
    </row>
    <row r="5" spans="1:3" ht="16" x14ac:dyDescent="0.35">
      <c r="A5" s="2" t="s">
        <v>119</v>
      </c>
      <c r="B5" s="2" t="s">
        <v>120</v>
      </c>
      <c r="C5" s="6" t="s">
        <v>121</v>
      </c>
    </row>
    <row r="6" spans="1:3" ht="16" x14ac:dyDescent="0.35">
      <c r="A6" s="2" t="s">
        <v>122</v>
      </c>
      <c r="B6" s="2" t="s">
        <v>123</v>
      </c>
      <c r="C6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Financial_Metrics</vt:lpstr>
      <vt:lpstr>Stress_Test_Matrix</vt:lpstr>
      <vt:lpstr>Financial_Ratios</vt:lpstr>
      <vt:lpstr>Peer_Comparison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Bauyrzhan Dyussembek</cp:lastModifiedBy>
  <dcterms:created xsi:type="dcterms:W3CDTF">2026-10-27T13:38:33Z</dcterms:created>
  <dcterms:modified xsi:type="dcterms:W3CDTF">2026-10-27T13:39:42Z</dcterms:modified>
</cp:coreProperties>
</file>